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LAKANANDA\Downloads\"/>
    </mc:Choice>
  </mc:AlternateContent>
  <xr:revisionPtr revIDLastSave="0" documentId="13_ncr:1_{C8E9787F-8CA4-44DF-8386-E2D2AD978042}" xr6:coauthVersionLast="47" xr6:coauthVersionMax="47" xr10:uidLastSave="{00000000-0000-0000-0000-000000000000}"/>
  <bookViews>
    <workbookView xWindow="-108" yWindow="-108" windowWidth="23256" windowHeight="13896" activeTab="3" xr2:uid="{00000000-000D-0000-FFFF-FFFF00000000}"/>
  </bookViews>
  <sheets>
    <sheet name="Sheet2" sheetId="4" r:id="rId1"/>
    <sheet name="Sheet3" sheetId="5" r:id="rId2"/>
    <sheet name="Sheet4" sheetId="6" r:id="rId3"/>
    <sheet name="Table1" sheetId="2" r:id="rId4"/>
    <sheet name="Sheet1" sheetId="3" r:id="rId5"/>
    <sheet name="Raw Data" sheetId="1" r:id="rId6"/>
  </sheets>
  <definedNames>
    <definedName name="_xlnm._FilterDatabase" localSheetId="5" hidden="1">'Raw Data'!$A$1:$Q$609</definedName>
    <definedName name="ExternalData_1" localSheetId="3" hidden="1">Table1!$A$1:$N$590</definedName>
    <definedName name="NativeTimeline_Release_Year">#N/A</definedName>
    <definedName name="Slicer_Platform">#N/A</definedName>
  </definedNames>
  <calcPr calcId="191029"/>
  <pivotCaches>
    <pivotCache cacheId="10" r:id="rId7"/>
    <pivotCache cacheId="1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2" i="2" l="1"/>
  <c r="I591" i="2"/>
  <c r="D2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7E6CD2-E47E-4CC9-A3EF-470DD35477D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<sst xmlns="http://schemas.openxmlformats.org/spreadsheetml/2006/main" count="15039" uniqueCount="1952">
  <si>
    <t>Movie ID</t>
  </si>
  <si>
    <t>Movie Name</t>
  </si>
  <si>
    <t>Genre</t>
  </si>
  <si>
    <t>Language</t>
  </si>
  <si>
    <t>Platform</t>
  </si>
  <si>
    <t>Release Year</t>
  </si>
  <si>
    <t>Release Month</t>
  </si>
  <si>
    <t>Duration (min)</t>
  </si>
  <si>
    <t>IMDb Rating</t>
  </si>
  <si>
    <t>Votes</t>
  </si>
  <si>
    <t>Revenue (Million USD)</t>
  </si>
  <si>
    <t>Budget (Million USD)</t>
  </si>
  <si>
    <t>Country</t>
  </si>
  <si>
    <t>Director</t>
  </si>
  <si>
    <t>Lead Actor</t>
  </si>
  <si>
    <t>Content Type</t>
  </si>
  <si>
    <t>Age Rating</t>
  </si>
  <si>
    <t>M0461</t>
  </si>
  <si>
    <t>Oppenheimer 461</t>
  </si>
  <si>
    <t>Drama</t>
  </si>
  <si>
    <t>English</t>
  </si>
  <si>
    <t>Peacock</t>
  </si>
  <si>
    <t>August</t>
  </si>
  <si>
    <t>UK</t>
  </si>
  <si>
    <t>Bong Joon Ho</t>
  </si>
  <si>
    <t>Suriya</t>
  </si>
  <si>
    <t>Movie</t>
  </si>
  <si>
    <t>PG-13</t>
  </si>
  <si>
    <t>M0568</t>
  </si>
  <si>
    <t>Inception 568</t>
  </si>
  <si>
    <t>Sci-Fi</t>
  </si>
  <si>
    <t>HBO Max</t>
  </si>
  <si>
    <t>December</t>
  </si>
  <si>
    <t>Australia</t>
  </si>
  <si>
    <t>Vetrimaaran</t>
  </si>
  <si>
    <t>Tom Holland</t>
  </si>
  <si>
    <t>U/A</t>
  </si>
  <si>
    <t>M0276</t>
  </si>
  <si>
    <t>Jigarthanda DoubleX 276</t>
  </si>
  <si>
    <t>Action</t>
  </si>
  <si>
    <t>Tamil</t>
  </si>
  <si>
    <t>Netflix</t>
  </si>
  <si>
    <t>India</t>
  </si>
  <si>
    <t>Rajkumar Hirani</t>
  </si>
  <si>
    <t>Alia Bhatt</t>
  </si>
  <si>
    <t>Feature Film</t>
  </si>
  <si>
    <t>M0293</t>
  </si>
  <si>
    <t>A Quiet Place 293</t>
  </si>
  <si>
    <t>Horror</t>
  </si>
  <si>
    <t>Paramount+</t>
  </si>
  <si>
    <t>July</t>
  </si>
  <si>
    <t>USA</t>
  </si>
  <si>
    <t>Alfonso Cuarón</t>
  </si>
  <si>
    <t>Leonardo DiCaprio</t>
  </si>
  <si>
    <t>PG</t>
  </si>
  <si>
    <t>M0120</t>
  </si>
  <si>
    <t>Train to Busan 120</t>
  </si>
  <si>
    <t>Korean</t>
  </si>
  <si>
    <t>South Korea</t>
  </si>
  <si>
    <t>Shah Rukh Khan</t>
  </si>
  <si>
    <t>15</t>
  </si>
  <si>
    <t>M0072</t>
  </si>
  <si>
    <t>Dangal 72</t>
  </si>
  <si>
    <t>Thriller</t>
  </si>
  <si>
    <t>Hindi</t>
  </si>
  <si>
    <t>January</t>
  </si>
  <si>
    <t>Lijo Jose Pellissery</t>
  </si>
  <si>
    <t>Robert Downey Jr.</t>
  </si>
  <si>
    <t>R</t>
  </si>
  <si>
    <t>M0157</t>
  </si>
  <si>
    <t>RRR 157</t>
  </si>
  <si>
    <t>Crime</t>
  </si>
  <si>
    <t>Telugu</t>
  </si>
  <si>
    <t>Christopher Nolan</t>
  </si>
  <si>
    <t>Nani</t>
  </si>
  <si>
    <t>M0043</t>
  </si>
  <si>
    <t>A Quiet Place</t>
  </si>
  <si>
    <t>June</t>
  </si>
  <si>
    <t>Canada</t>
  </si>
  <si>
    <t>M0506</t>
  </si>
  <si>
    <t>Kantara 506</t>
  </si>
  <si>
    <t>Kannada</t>
  </si>
  <si>
    <t>Amazon Prime</t>
  </si>
  <si>
    <t>Denis Villeneuve</t>
  </si>
  <si>
    <t>M0527</t>
  </si>
  <si>
    <t>Bangalore Days 527</t>
  </si>
  <si>
    <t>Romance</t>
  </si>
  <si>
    <t>Malayalam</t>
  </si>
  <si>
    <t>Disney+</t>
  </si>
  <si>
    <t>Mani Ratnam</t>
  </si>
  <si>
    <t>M0040</t>
  </si>
  <si>
    <t>John Wick 4</t>
  </si>
  <si>
    <t>Lionsgate+</t>
  </si>
  <si>
    <t>March</t>
  </si>
  <si>
    <t>M0414</t>
  </si>
  <si>
    <t>Vikram 414</t>
  </si>
  <si>
    <t>February</t>
  </si>
  <si>
    <t>Christian Bale</t>
  </si>
  <si>
    <t>M0111</t>
  </si>
  <si>
    <t>Oppenheimer 111</t>
  </si>
  <si>
    <t>May</t>
  </si>
  <si>
    <t>Greta Gerwig</t>
  </si>
  <si>
    <t>M0309</t>
  </si>
  <si>
    <t>Manjummel Boys 309</t>
  </si>
  <si>
    <t>Adventure</t>
  </si>
  <si>
    <t>Vijay</t>
  </si>
  <si>
    <t>M0243</t>
  </si>
  <si>
    <t>A Quiet Place 243</t>
  </si>
  <si>
    <t>October</t>
  </si>
  <si>
    <t>Anurag Kashyap</t>
  </si>
  <si>
    <t>M0170</t>
  </si>
  <si>
    <t>Train to Busan 170</t>
  </si>
  <si>
    <t>Fantasy</t>
  </si>
  <si>
    <t>April</t>
  </si>
  <si>
    <t>M0312</t>
  </si>
  <si>
    <t>Barbie 312</t>
  </si>
  <si>
    <t>Comedy</t>
  </si>
  <si>
    <t>M0392</t>
  </si>
  <si>
    <t>Get Out 392</t>
  </si>
  <si>
    <t>Zoya Akhtar</t>
  </si>
  <si>
    <t>Fahadh Faasil</t>
  </si>
  <si>
    <t>M0327</t>
  </si>
  <si>
    <t>Bangalore Days 327</t>
  </si>
  <si>
    <t>18</t>
  </si>
  <si>
    <t>M0197</t>
  </si>
  <si>
    <t>Gone Girl 197</t>
  </si>
  <si>
    <t>September</t>
  </si>
  <si>
    <t>Ryan Gosling</t>
  </si>
  <si>
    <t>M0056</t>
  </si>
  <si>
    <t>Kantara 56</t>
  </si>
  <si>
    <t>Mystery</t>
  </si>
  <si>
    <t>M0533</t>
  </si>
  <si>
    <t>Spider-Man: No Way Home 533</t>
  </si>
  <si>
    <t>Lokesh Kanagaraj</t>
  </si>
  <si>
    <t>M0013</t>
  </si>
  <si>
    <t>Pathaan</t>
  </si>
  <si>
    <t>Rajinikanth</t>
  </si>
  <si>
    <t>M0418</t>
  </si>
  <si>
    <t>Inception 418</t>
  </si>
  <si>
    <t>SonyLIV</t>
  </si>
  <si>
    <t>S.S. Rajamouli</t>
  </si>
  <si>
    <t>Ranbir Kapoor</t>
  </si>
  <si>
    <t>M0384</t>
  </si>
  <si>
    <t>Toy Story 4 384</t>
  </si>
  <si>
    <t>Animation</t>
  </si>
  <si>
    <t>Martin Scorsese</t>
  </si>
  <si>
    <t>M0423</t>
  </si>
  <si>
    <t>Bahubali 2 423</t>
  </si>
  <si>
    <t>Mohanlal</t>
  </si>
  <si>
    <t>M0515</t>
  </si>
  <si>
    <t>Kumbalangi Nights 515</t>
  </si>
  <si>
    <t>Prabhas</t>
  </si>
  <si>
    <t>U</t>
  </si>
  <si>
    <t>M0354</t>
  </si>
  <si>
    <t>Drishyam 2 354</t>
  </si>
  <si>
    <t>November</t>
  </si>
  <si>
    <t>M0505</t>
  </si>
  <si>
    <t>Dune: Part Two 505</t>
  </si>
  <si>
    <t>M0350</t>
  </si>
  <si>
    <t>The Notebook 350</t>
  </si>
  <si>
    <t>M0352</t>
  </si>
  <si>
    <t>Jawan 352</t>
  </si>
  <si>
    <t>M0078</t>
  </si>
  <si>
    <t>Ustad Hotel 78</t>
  </si>
  <si>
    <t>M0447</t>
  </si>
  <si>
    <t>Gone Girl 447</t>
  </si>
  <si>
    <t>Dhanush</t>
  </si>
  <si>
    <t>M0005</t>
  </si>
  <si>
    <t>Dune: Part Two</t>
  </si>
  <si>
    <t>M0266</t>
  </si>
  <si>
    <t>Premam 266</t>
  </si>
  <si>
    <t>Japanese</t>
  </si>
  <si>
    <t>Japan</t>
  </si>
  <si>
    <t>M0594</t>
  </si>
  <si>
    <t>Knives Out 594</t>
  </si>
  <si>
    <t>M0017</t>
  </si>
  <si>
    <t>Interstellar</t>
  </si>
  <si>
    <t>M0370</t>
  </si>
  <si>
    <t>Train to Busan 370</t>
  </si>
  <si>
    <t>Jeethu Joseph</t>
  </si>
  <si>
    <t>M0173</t>
  </si>
  <si>
    <t>Bahubali 2 173</t>
  </si>
  <si>
    <t>M0262</t>
  </si>
  <si>
    <t>Barbie 262</t>
  </si>
  <si>
    <t>M0374</t>
  </si>
  <si>
    <t>KGF Chapter 2 374</t>
  </si>
  <si>
    <t>M0267</t>
  </si>
  <si>
    <t>Interstellar 267</t>
  </si>
  <si>
    <t>M0490</t>
  </si>
  <si>
    <t>John Wick 4 490</t>
  </si>
  <si>
    <t>M0422</t>
  </si>
  <si>
    <t>Dangal 422</t>
  </si>
  <si>
    <t>Apple TV+</t>
  </si>
  <si>
    <t>M0090</t>
  </si>
  <si>
    <t>John Wick 4 90</t>
  </si>
  <si>
    <t>M0570</t>
  </si>
  <si>
    <t>Train to Busan 570</t>
  </si>
  <si>
    <t>M0062</t>
  </si>
  <si>
    <t>Barbie 62</t>
  </si>
  <si>
    <t>Mammootty</t>
  </si>
  <si>
    <t>M0437</t>
  </si>
  <si>
    <t>Zootopia 437</t>
  </si>
  <si>
    <t>M0014</t>
  </si>
  <si>
    <t>Vikram</t>
  </si>
  <si>
    <t>M0217</t>
  </si>
  <si>
    <t>Interstellar 217</t>
  </si>
  <si>
    <t>M0169</t>
  </si>
  <si>
    <t>Parasite 169</t>
  </si>
  <si>
    <t>Hulu</t>
  </si>
  <si>
    <t>M0319</t>
  </si>
  <si>
    <t>Parasite 319</t>
  </si>
  <si>
    <t>French</t>
  </si>
  <si>
    <t>France</t>
  </si>
  <si>
    <t>M0066</t>
  </si>
  <si>
    <t>Premam 66</t>
  </si>
  <si>
    <t>Spanish</t>
  </si>
  <si>
    <t>Spain</t>
  </si>
  <si>
    <t>M0489</t>
  </si>
  <si>
    <t>Top Gun: Maverick 489</t>
  </si>
  <si>
    <t>M0160</t>
  </si>
  <si>
    <t>The Batman 160</t>
  </si>
  <si>
    <t>M0468</t>
  </si>
  <si>
    <t>Inception 468</t>
  </si>
  <si>
    <t>M0261</t>
  </si>
  <si>
    <t>Oppenheimer 261</t>
  </si>
  <si>
    <t>M0110</t>
  </si>
  <si>
    <t>The Batman 110</t>
  </si>
  <si>
    <t>M0581</t>
  </si>
  <si>
    <t>The Shawshank Redemption 581</t>
  </si>
  <si>
    <t>M0256</t>
  </si>
  <si>
    <t>Kantara 256</t>
  </si>
  <si>
    <t>M0167</t>
  </si>
  <si>
    <t>Interstellar 167</t>
  </si>
  <si>
    <t>M0235</t>
  </si>
  <si>
    <t>Coco 235</t>
  </si>
  <si>
    <t>M0255</t>
  </si>
  <si>
    <t>Dune: Part Two 255</t>
  </si>
  <si>
    <t>M0535</t>
  </si>
  <si>
    <t>Coco 535</t>
  </si>
  <si>
    <t>M0444</t>
  </si>
  <si>
    <t>Knives Out 444</t>
  </si>
  <si>
    <t>M0224</t>
  </si>
  <si>
    <t>KGF Chapter 2 224</t>
  </si>
  <si>
    <t>M0114</t>
  </si>
  <si>
    <t>Vikram 114</t>
  </si>
  <si>
    <t>Dulquer Salmaan</t>
  </si>
  <si>
    <t>M0058</t>
  </si>
  <si>
    <t>12th Fail 58</t>
  </si>
  <si>
    <t>M0546</t>
  </si>
  <si>
    <t>The Menu 546</t>
  </si>
  <si>
    <t>M0412</t>
  </si>
  <si>
    <t>Barbie 412</t>
  </si>
  <si>
    <t>M0097</t>
  </si>
  <si>
    <t>Gone Girl 97</t>
  </si>
  <si>
    <t>M0171</t>
  </si>
  <si>
    <t>3 Idiots 171</t>
  </si>
  <si>
    <t>M0195</t>
  </si>
  <si>
    <t>Glass Onion 195</t>
  </si>
  <si>
    <t>M0291</t>
  </si>
  <si>
    <t>The Conjuring 291</t>
  </si>
  <si>
    <t>M0578</t>
  </si>
  <si>
    <t>Ustad Hotel 578</t>
  </si>
  <si>
    <t>M0516</t>
  </si>
  <si>
    <t>Premam 516</t>
  </si>
  <si>
    <t>M0143</t>
  </si>
  <si>
    <t>A Quiet Place 143</t>
  </si>
  <si>
    <t>M0551</t>
  </si>
  <si>
    <t>Leo 551</t>
  </si>
  <si>
    <t>M0245</t>
  </si>
  <si>
    <t>Glass Onion 245</t>
  </si>
  <si>
    <t>M0530</t>
  </si>
  <si>
    <t>Forrest Gump 530</t>
  </si>
  <si>
    <t>M0187</t>
  </si>
  <si>
    <t>Zootopia 187</t>
  </si>
  <si>
    <t>M0024</t>
  </si>
  <si>
    <t>KGF Chapter 2</t>
  </si>
  <si>
    <t>M0273</t>
  </si>
  <si>
    <t>Bahubali 2 273</t>
  </si>
  <si>
    <t>M0124</t>
  </si>
  <si>
    <t>KGF Chapter 2 124</t>
  </si>
  <si>
    <t>M0321</t>
  </si>
  <si>
    <t>3 Idiots 321</t>
  </si>
  <si>
    <t>M0564</t>
  </si>
  <si>
    <t>Vikram 564</t>
  </si>
  <si>
    <t>M0150</t>
  </si>
  <si>
    <t>The Notebook 150</t>
  </si>
  <si>
    <t>M0036</t>
  </si>
  <si>
    <t>Inside Out</t>
  </si>
  <si>
    <t>M0015</t>
  </si>
  <si>
    <t>Kumbalangi Nights</t>
  </si>
  <si>
    <t>M0383</t>
  </si>
  <si>
    <t>Spider-Man: No Way Home 383</t>
  </si>
  <si>
    <t>M0399</t>
  </si>
  <si>
    <t>La La Land 399</t>
  </si>
  <si>
    <t>M0524</t>
  </si>
  <si>
    <t>KGF Chapter 2 524</t>
  </si>
  <si>
    <t>M0453</t>
  </si>
  <si>
    <t>Premalu 453</t>
  </si>
  <si>
    <t>M0105</t>
  </si>
  <si>
    <t>Dune: Part Two 105</t>
  </si>
  <si>
    <t>M0179</t>
  </si>
  <si>
    <t>The Dark Knight 179</t>
  </si>
  <si>
    <t>M0525</t>
  </si>
  <si>
    <t>Sita Ramam 525</t>
  </si>
  <si>
    <t>M0223</t>
  </si>
  <si>
    <t>Bahubali 2 223</t>
  </si>
  <si>
    <t>M0216</t>
  </si>
  <si>
    <t>Premam 216</t>
  </si>
  <si>
    <t>M0526</t>
  </si>
  <si>
    <t>Jigarthanda DoubleX 526</t>
  </si>
  <si>
    <t>M0148</t>
  </si>
  <si>
    <t>Shutter Island 148</t>
  </si>
  <si>
    <t>M0520</t>
  </si>
  <si>
    <t>Train to Busan 520</t>
  </si>
  <si>
    <t>M0028</t>
  </si>
  <si>
    <t>Ustad Hotel</t>
  </si>
  <si>
    <t>M0044</t>
  </si>
  <si>
    <t>Knives Out</t>
  </si>
  <si>
    <t>M0361</t>
  </si>
  <si>
    <t>Oppenheimer 361</t>
  </si>
  <si>
    <t>M0156</t>
  </si>
  <si>
    <t>Kantara 156</t>
  </si>
  <si>
    <t>M0473</t>
  </si>
  <si>
    <t>Bahubali 2 473</t>
  </si>
  <si>
    <t>M0562</t>
  </si>
  <si>
    <t>Barbie 562</t>
  </si>
  <si>
    <t>M0181</t>
  </si>
  <si>
    <t>The Shawshank Redemption 181</t>
  </si>
  <si>
    <t>M0127</t>
  </si>
  <si>
    <t>Bangalore Days 127</t>
  </si>
  <si>
    <t>M0413</t>
  </si>
  <si>
    <t>Pathaan 413</t>
  </si>
  <si>
    <t>M0094</t>
  </si>
  <si>
    <t>Knives Out 94</t>
  </si>
  <si>
    <t>M0220</t>
  </si>
  <si>
    <t>Train to Busan 220</t>
  </si>
  <si>
    <t>M0554</t>
  </si>
  <si>
    <t>Drishyam 2 554</t>
  </si>
  <si>
    <t>M0425</t>
  </si>
  <si>
    <t>Sita Ramam 425</t>
  </si>
  <si>
    <t>M0406</t>
  </si>
  <si>
    <t>Kantara 406</t>
  </si>
  <si>
    <t>M0038</t>
  </si>
  <si>
    <t>Frozen II</t>
  </si>
  <si>
    <t>M0449</t>
  </si>
  <si>
    <t>La La Land 449</t>
  </si>
  <si>
    <t>M0103</t>
  </si>
  <si>
    <t>Premalu 103</t>
  </si>
  <si>
    <t>M0536</t>
  </si>
  <si>
    <t>Inside Out 536</t>
  </si>
  <si>
    <t>M0539</t>
  </si>
  <si>
    <t>Top Gun: Maverick 539</t>
  </si>
  <si>
    <t>M0021</t>
  </si>
  <si>
    <t>3 Idiots</t>
  </si>
  <si>
    <t>M0433</t>
  </si>
  <si>
    <t>Spider-Man: No Way Home 433</t>
  </si>
  <si>
    <t>M0280</t>
  </si>
  <si>
    <t>Forrest Gump 280</t>
  </si>
  <si>
    <t>M0284</t>
  </si>
  <si>
    <t>Toy Story 4 284</t>
  </si>
  <si>
    <t>M0131</t>
  </si>
  <si>
    <t>The Shawshank Redemption 131</t>
  </si>
  <si>
    <t>M0163</t>
  </si>
  <si>
    <t>Pathaan 163</t>
  </si>
  <si>
    <t>M0053</t>
  </si>
  <si>
    <t>Premalu 53</t>
  </si>
  <si>
    <t>M0497</t>
  </si>
  <si>
    <t>Gone Girl 497</t>
  </si>
  <si>
    <t>M0092</t>
  </si>
  <si>
    <t>Get Out 92</t>
  </si>
  <si>
    <t>M0117</t>
  </si>
  <si>
    <t>Interstellar 117</t>
  </si>
  <si>
    <t>M0337</t>
  </si>
  <si>
    <t>Zootopia 337</t>
  </si>
  <si>
    <t>M0188</t>
  </si>
  <si>
    <t>Frozen II 188</t>
  </si>
  <si>
    <t>M0329</t>
  </si>
  <si>
    <t>The Dark Knight 329</t>
  </si>
  <si>
    <t>M0450</t>
  </si>
  <si>
    <t>The Notebook 450</t>
  </si>
  <si>
    <t>M0555</t>
  </si>
  <si>
    <t>Dune: Part Two 555</t>
  </si>
  <si>
    <t>M0558</t>
  </si>
  <si>
    <t>12th Fail 558</t>
  </si>
  <si>
    <t>M0364</t>
  </si>
  <si>
    <t>Vikram 364</t>
  </si>
  <si>
    <t>M0318</t>
  </si>
  <si>
    <t>Inception 318</t>
  </si>
  <si>
    <t>M0431</t>
  </si>
  <si>
    <t>The Shawshank Redemption 431</t>
  </si>
  <si>
    <t>M0257</t>
  </si>
  <si>
    <t>RRR 257</t>
  </si>
  <si>
    <t>M0205</t>
  </si>
  <si>
    <t>Dune: Part Two 205</t>
  </si>
  <si>
    <t>M0357</t>
  </si>
  <si>
    <t>RRR 357</t>
  </si>
  <si>
    <t>M0307</t>
  </si>
  <si>
    <t>RRR 307</t>
  </si>
  <si>
    <t>M0297</t>
  </si>
  <si>
    <t>Gone Girl 297</t>
  </si>
  <si>
    <t>M0083</t>
  </si>
  <si>
    <t>Spider-Man: No Way Home 83</t>
  </si>
  <si>
    <t>M0089</t>
  </si>
  <si>
    <t>Top Gun: Maverick 89</t>
  </si>
  <si>
    <t>M0478</t>
  </si>
  <si>
    <t>Ustad Hotel 478</t>
  </si>
  <si>
    <t>M0071</t>
  </si>
  <si>
    <t>3 Idiots 71</t>
  </si>
  <si>
    <t>M0440</t>
  </si>
  <si>
    <t>John Wick 4 440</t>
  </si>
  <si>
    <t>M0456</t>
  </si>
  <si>
    <t>Kantara 456</t>
  </si>
  <si>
    <t>M0047</t>
  </si>
  <si>
    <t>Gone Girl</t>
  </si>
  <si>
    <t>M0210</t>
  </si>
  <si>
    <t>The Batman 210</t>
  </si>
  <si>
    <t>M0233</t>
  </si>
  <si>
    <t>Spider-Man: No Way Home 233</t>
  </si>
  <si>
    <t>M0367</t>
  </si>
  <si>
    <t>Interstellar 367</t>
  </si>
  <si>
    <t>M0174</t>
  </si>
  <si>
    <t>KGF Chapter 2 174</t>
  </si>
  <si>
    <t>M0200</t>
  </si>
  <si>
    <t>The Notebook 200</t>
  </si>
  <si>
    <t>M0278</t>
  </si>
  <si>
    <t>Ustad Hotel 278</t>
  </si>
  <si>
    <t>M0334</t>
  </si>
  <si>
    <t>Toy Story 4 334</t>
  </si>
  <si>
    <t>M0007</t>
  </si>
  <si>
    <t>RRR</t>
  </si>
  <si>
    <t>M0026</t>
  </si>
  <si>
    <t>Jigarthanda DoubleX</t>
  </si>
  <si>
    <t>M0099</t>
  </si>
  <si>
    <t>La La Land 99</t>
  </si>
  <si>
    <t>M0133</t>
  </si>
  <si>
    <t>Spider-Man: No Way Home 133</t>
  </si>
  <si>
    <t>M0067</t>
  </si>
  <si>
    <t>Interstellar 67</t>
  </si>
  <si>
    <t>M0472</t>
  </si>
  <si>
    <t>Dangal 472</t>
  </si>
  <si>
    <t>M0030</t>
  </si>
  <si>
    <t>Forrest Gump</t>
  </si>
  <si>
    <t>M0023</t>
  </si>
  <si>
    <t>Bahubali 2</t>
  </si>
  <si>
    <t>M0244</t>
  </si>
  <si>
    <t>Knives Out 244</t>
  </si>
  <si>
    <t>M0576</t>
  </si>
  <si>
    <t>Jigarthanda DoubleX 576</t>
  </si>
  <si>
    <t>M0428</t>
  </si>
  <si>
    <t>Ustad Hotel 428</t>
  </si>
  <si>
    <t>M0059</t>
  </si>
  <si>
    <t>Manjummel Boys 59</t>
  </si>
  <si>
    <t>M0109</t>
  </si>
  <si>
    <t>Manjummel Boys 109</t>
  </si>
  <si>
    <t>M0500</t>
  </si>
  <si>
    <t>The Notebook 500</t>
  </si>
  <si>
    <t>M0416</t>
  </si>
  <si>
    <t>Premam 416</t>
  </si>
  <si>
    <t>M0390</t>
  </si>
  <si>
    <t>John Wick 4 390</t>
  </si>
  <si>
    <t>M0479</t>
  </si>
  <si>
    <t>The Dark Knight 479</t>
  </si>
  <si>
    <t>M0153</t>
  </si>
  <si>
    <t>Premalu 153</t>
  </si>
  <si>
    <t>M0360</t>
  </si>
  <si>
    <t>The Batman 360</t>
  </si>
  <si>
    <t>M0041</t>
  </si>
  <si>
    <t>The Conjuring</t>
  </si>
  <si>
    <t>M0116</t>
  </si>
  <si>
    <t>Premam 116</t>
  </si>
  <si>
    <t>M0165</t>
  </si>
  <si>
    <t>Kumbalangi Nights 165</t>
  </si>
  <si>
    <t>M0363</t>
  </si>
  <si>
    <t>Pathaan 363</t>
  </si>
  <si>
    <t>M0128</t>
  </si>
  <si>
    <t>Ustad Hotel 128</t>
  </si>
  <si>
    <t>M0259</t>
  </si>
  <si>
    <t>Manjummel Boys 259</t>
  </si>
  <si>
    <t>M0265</t>
  </si>
  <si>
    <t>Kumbalangi Nights 265</t>
  </si>
  <si>
    <t>M0046</t>
  </si>
  <si>
    <t>The Menu</t>
  </si>
  <si>
    <t>M0495</t>
  </si>
  <si>
    <t>Glass Onion 495</t>
  </si>
  <si>
    <t>Mexico</t>
  </si>
  <si>
    <t>M0459</t>
  </si>
  <si>
    <t>Manjummel Boys 459</t>
  </si>
  <si>
    <t>M0548</t>
  </si>
  <si>
    <t>Shutter Island 548</t>
  </si>
  <si>
    <t>M0172</t>
  </si>
  <si>
    <t>Dangal 172</t>
  </si>
  <si>
    <t>M0052</t>
  </si>
  <si>
    <t>Jawan 52</t>
  </si>
  <si>
    <t>M0391</t>
  </si>
  <si>
    <t>The Conjuring 391</t>
  </si>
  <si>
    <t>M0274</t>
  </si>
  <si>
    <t>KGF Chapter 2 274</t>
  </si>
  <si>
    <t>M0395</t>
  </si>
  <si>
    <t>Glass Onion 395</t>
  </si>
  <si>
    <t>M0325</t>
  </si>
  <si>
    <t>Sita Ramam 325</t>
  </si>
  <si>
    <t>M0010</t>
  </si>
  <si>
    <t>The Batman</t>
  </si>
  <si>
    <t>M0379</t>
  </si>
  <si>
    <t>The Dark Knight 379</t>
  </si>
  <si>
    <t>M0532</t>
  </si>
  <si>
    <t>Avengers: Endgame 532</t>
  </si>
  <si>
    <t>M0460</t>
  </si>
  <si>
    <t>The Batman 460</t>
  </si>
  <si>
    <t>M0142</t>
  </si>
  <si>
    <t>Get Out 142</t>
  </si>
  <si>
    <t>M0579</t>
  </si>
  <si>
    <t>The Dark Knight 579</t>
  </si>
  <si>
    <t>M0176</t>
  </si>
  <si>
    <t>Jigarthanda DoubleX 176</t>
  </si>
  <si>
    <t>M0135</t>
  </si>
  <si>
    <t>Coco 135</t>
  </si>
  <si>
    <t>M0552</t>
  </si>
  <si>
    <t>Jawan 552</t>
  </si>
  <si>
    <t>M0070</t>
  </si>
  <si>
    <t>Train to Busan 70</t>
  </si>
  <si>
    <t>M0180</t>
  </si>
  <si>
    <t>Forrest Gump 180</t>
  </si>
  <si>
    <t>M0376</t>
  </si>
  <si>
    <t>Jigarthanda DoubleX 376</t>
  </si>
  <si>
    <t>M0454</t>
  </si>
  <si>
    <t>Drishyam 2 454</t>
  </si>
  <si>
    <t>M0320</t>
  </si>
  <si>
    <t>Train to Busan 320</t>
  </si>
  <si>
    <t>M0591</t>
  </si>
  <si>
    <t>The Conjuring 591</t>
  </si>
  <si>
    <t>M0499</t>
  </si>
  <si>
    <t>La La Land 499</t>
  </si>
  <si>
    <t>M0324</t>
  </si>
  <si>
    <t>KGF Chapter 2 324</t>
  </si>
  <si>
    <t>M0088</t>
  </si>
  <si>
    <t>Frozen II 88</t>
  </si>
  <si>
    <t>M0432</t>
  </si>
  <si>
    <t>Avengers: Endgame 432</t>
  </si>
  <si>
    <t>M0277</t>
  </si>
  <si>
    <t>Bangalore Days 277</t>
  </si>
  <si>
    <t>M0452</t>
  </si>
  <si>
    <t>Jawan 452</t>
  </si>
  <si>
    <t>M0522</t>
  </si>
  <si>
    <t>Dangal 522</t>
  </si>
  <si>
    <t>M0517</t>
  </si>
  <si>
    <t>Interstellar 517</t>
  </si>
  <si>
    <t>M0427</t>
  </si>
  <si>
    <t>Bangalore Days 427</t>
  </si>
  <si>
    <t>M0529</t>
  </si>
  <si>
    <t>The Dark Knight 529</t>
  </si>
  <si>
    <t>M0549</t>
  </si>
  <si>
    <t>La La Land 549</t>
  </si>
  <si>
    <t>M0419</t>
  </si>
  <si>
    <t>Parasite 419</t>
  </si>
  <si>
    <t>M0464</t>
  </si>
  <si>
    <t>Vikram 464</t>
  </si>
  <si>
    <t>M0225</t>
  </si>
  <si>
    <t>Sita Ramam 225</t>
  </si>
  <si>
    <t>M0213</t>
  </si>
  <si>
    <t>Pathaan 213</t>
  </si>
  <si>
    <t>M0556</t>
  </si>
  <si>
    <t>Kantara 556</t>
  </si>
  <si>
    <t>M0359</t>
  </si>
  <si>
    <t>Manjummel Boys 359</t>
  </si>
  <si>
    <t>M0214</t>
  </si>
  <si>
    <t>Vikram 214</t>
  </si>
  <si>
    <t>M0544</t>
  </si>
  <si>
    <t>Knives Out 544</t>
  </si>
  <si>
    <t>M0481</t>
  </si>
  <si>
    <t>The Shawshank Redemption 481</t>
  </si>
  <si>
    <t>M0045</t>
  </si>
  <si>
    <t>Glass Onion</t>
  </si>
  <si>
    <t>M0294</t>
  </si>
  <si>
    <t>Knives Out 294</t>
  </si>
  <si>
    <t>M0341</t>
  </si>
  <si>
    <t>The Conjuring 341</t>
  </si>
  <si>
    <t>M0451</t>
  </si>
  <si>
    <t>Leo 451</t>
  </si>
  <si>
    <t>M0502</t>
  </si>
  <si>
    <t>Jawan 502</t>
  </si>
  <si>
    <t>M0541</t>
  </si>
  <si>
    <t>The Conjuring 541</t>
  </si>
  <si>
    <t>M0569</t>
  </si>
  <si>
    <t>Parasite 569</t>
  </si>
  <si>
    <t>M0129</t>
  </si>
  <si>
    <t>The Dark Knight 129</t>
  </si>
  <si>
    <t>M0415</t>
  </si>
  <si>
    <t>Kumbalangi Nights 415</t>
  </si>
  <si>
    <t>M0513</t>
  </si>
  <si>
    <t>Pathaan 513</t>
  </si>
  <si>
    <t>M0137</t>
  </si>
  <si>
    <t>Zootopia 137</t>
  </si>
  <si>
    <t>M0462</t>
  </si>
  <si>
    <t>Barbie 462</t>
  </si>
  <si>
    <t>M0523</t>
  </si>
  <si>
    <t>Bahubali 2 523</t>
  </si>
  <si>
    <t>M0547</t>
  </si>
  <si>
    <t>Gone Girl 547</t>
  </si>
  <si>
    <t>M0147</t>
  </si>
  <si>
    <t>Gone Girl 147</t>
  </si>
  <si>
    <t>M0583</t>
  </si>
  <si>
    <t>Spider-Man: No Way Home 583</t>
  </si>
  <si>
    <t>M0201</t>
  </si>
  <si>
    <t>Leo 201</t>
  </si>
  <si>
    <t>M0085</t>
  </si>
  <si>
    <t>Coco 85</t>
  </si>
  <si>
    <t>M0439</t>
  </si>
  <si>
    <t>Top Gun: Maverick 439</t>
  </si>
  <si>
    <t>M0144</t>
  </si>
  <si>
    <t>Knives Out 144</t>
  </si>
  <si>
    <t>M0434</t>
  </si>
  <si>
    <t>Toy Story 4 434</t>
  </si>
  <si>
    <t>M0543</t>
  </si>
  <si>
    <t>A Quiet Place 543</t>
  </si>
  <si>
    <t>M0048</t>
  </si>
  <si>
    <t>Shutter Island</t>
  </si>
  <si>
    <t>M0598</t>
  </si>
  <si>
    <t>Shutter Island 598</t>
  </si>
  <si>
    <t>M0436</t>
  </si>
  <si>
    <t>Inside Out 436</t>
  </si>
  <si>
    <t>M0443</t>
  </si>
  <si>
    <t>A Quiet Place 443</t>
  </si>
  <si>
    <t>M0588</t>
  </si>
  <si>
    <t>Frozen II 588</t>
  </si>
  <si>
    <t>M0100</t>
  </si>
  <si>
    <t>The Notebook 100</t>
  </si>
  <si>
    <t>M0192</t>
  </si>
  <si>
    <t>Get Out 192</t>
  </si>
  <si>
    <t>M0060</t>
  </si>
  <si>
    <t>The Batman 60</t>
  </si>
  <si>
    <t>M0012</t>
  </si>
  <si>
    <t>Barbie</t>
  </si>
  <si>
    <t>M0027</t>
  </si>
  <si>
    <t>Bangalore Days</t>
  </si>
  <si>
    <t>M0388</t>
  </si>
  <si>
    <t>Frozen II 388</t>
  </si>
  <si>
    <t>M0250</t>
  </si>
  <si>
    <t>The Notebook 250</t>
  </si>
  <si>
    <t>M0393</t>
  </si>
  <si>
    <t>A Quiet Place 393</t>
  </si>
  <si>
    <t>M0592</t>
  </si>
  <si>
    <t>Get Out 592</t>
  </si>
  <si>
    <t>M0073</t>
  </si>
  <si>
    <t>Bahubali 2 73</t>
  </si>
  <si>
    <t>M0087</t>
  </si>
  <si>
    <t>Zootopia 87</t>
  </si>
  <si>
    <t>M0189</t>
  </si>
  <si>
    <t>Top Gun: Maverick 189</t>
  </si>
  <si>
    <t>M0178</t>
  </si>
  <si>
    <t>Ustad Hotel 178</t>
  </si>
  <si>
    <t>M0314</t>
  </si>
  <si>
    <t>Vikram 314</t>
  </si>
  <si>
    <t>M0191</t>
  </si>
  <si>
    <t>The Conjuring 191</t>
  </si>
  <si>
    <t>M0107</t>
  </si>
  <si>
    <t>RRR 107</t>
  </si>
  <si>
    <t>M0246</t>
  </si>
  <si>
    <t>The Menu 246</t>
  </si>
  <si>
    <t>M0458</t>
  </si>
  <si>
    <t>12th Fail 458</t>
  </si>
  <si>
    <t>M0093</t>
  </si>
  <si>
    <t>A Quiet Place 93</t>
  </si>
  <si>
    <t>M0253</t>
  </si>
  <si>
    <t>Premalu 253</t>
  </si>
  <si>
    <t>M0348</t>
  </si>
  <si>
    <t>Shutter Island 348</t>
  </si>
  <si>
    <t>M0405</t>
  </si>
  <si>
    <t>Dune: Part Two 405</t>
  </si>
  <si>
    <t>M0202</t>
  </si>
  <si>
    <t>Jawan 202</t>
  </si>
  <si>
    <t>M0571</t>
  </si>
  <si>
    <t>3 Idiots 571</t>
  </si>
  <si>
    <t>M0158</t>
  </si>
  <si>
    <t>12th Fail 158</t>
  </si>
  <si>
    <t>M0317</t>
  </si>
  <si>
    <t>Interstellar 317</t>
  </si>
  <si>
    <t>M0196</t>
  </si>
  <si>
    <t>The Menu 196</t>
  </si>
  <si>
    <t>M0283</t>
  </si>
  <si>
    <t>Spider-Man: No Way Home 283</t>
  </si>
  <si>
    <t>M0281</t>
  </si>
  <si>
    <t>The Shawshank Redemption 281</t>
  </si>
  <si>
    <t>M0141</t>
  </si>
  <si>
    <t>The Conjuring 141</t>
  </si>
  <si>
    <t>M0347</t>
  </si>
  <si>
    <t>Gone Girl 347</t>
  </si>
  <si>
    <t>M0411</t>
  </si>
  <si>
    <t>Oppenheimer 411</t>
  </si>
  <si>
    <t>M0222</t>
  </si>
  <si>
    <t>Dangal 222</t>
  </si>
  <si>
    <t>M0229</t>
  </si>
  <si>
    <t>The Dark Knight 229</t>
  </si>
  <si>
    <t>M0372</t>
  </si>
  <si>
    <t>Dangal 372</t>
  </si>
  <si>
    <t>M0177</t>
  </si>
  <si>
    <t>Bangalore Days 177</t>
  </si>
  <si>
    <t>M0590</t>
  </si>
  <si>
    <t>John Wick 4 590</t>
  </si>
  <si>
    <t>M0474</t>
  </si>
  <si>
    <t>KGF Chapter 2 474</t>
  </si>
  <si>
    <t>M0457</t>
  </si>
  <si>
    <t>RRR 457</t>
  </si>
  <si>
    <t>M0136</t>
  </si>
  <si>
    <t>Inside Out 136</t>
  </si>
  <si>
    <t>M0302</t>
  </si>
  <si>
    <t>Jawan 302</t>
  </si>
  <si>
    <t>M0401</t>
  </si>
  <si>
    <t>Leo 401</t>
  </si>
  <si>
    <t>M0252</t>
  </si>
  <si>
    <t>Jawan 252</t>
  </si>
  <si>
    <t>M0386</t>
  </si>
  <si>
    <t>Inside Out 386</t>
  </si>
  <si>
    <t>M0336</t>
  </si>
  <si>
    <t>Inside Out 336</t>
  </si>
  <si>
    <t>M0426</t>
  </si>
  <si>
    <t>Jigarthanda DoubleX 426</t>
  </si>
  <si>
    <t>M0519</t>
  </si>
  <si>
    <t>Parasite 519</t>
  </si>
  <si>
    <t>M0106</t>
  </si>
  <si>
    <t>Kantara 106</t>
  </si>
  <si>
    <t>M0580</t>
  </si>
  <si>
    <t>Forrest Gump 580</t>
  </si>
  <si>
    <t>M0263</t>
  </si>
  <si>
    <t>Pathaan 263</t>
  </si>
  <si>
    <t>M0381</t>
  </si>
  <si>
    <t>The Shawshank Redemption 381</t>
  </si>
  <si>
    <t>M0563</t>
  </si>
  <si>
    <t>Pathaan 563</t>
  </si>
  <si>
    <t>M0025</t>
  </si>
  <si>
    <t>Sita Ramam</t>
  </si>
  <si>
    <t>M0230</t>
  </si>
  <si>
    <t>Forrest Gump 230</t>
  </si>
  <si>
    <t>M0313</t>
  </si>
  <si>
    <t>Pathaan 313</t>
  </si>
  <si>
    <t>M0164</t>
  </si>
  <si>
    <t>Vikram 164</t>
  </si>
  <si>
    <t>M0566</t>
  </si>
  <si>
    <t>Premam 566</t>
  </si>
  <si>
    <t>M0183</t>
  </si>
  <si>
    <t>Spider-Man: No Way Home 183</t>
  </si>
  <si>
    <t>M0339</t>
  </si>
  <si>
    <t>Top Gun: Maverick 339</t>
  </si>
  <si>
    <t>M0033</t>
  </si>
  <si>
    <t>Spider-Man: No Way Home</t>
  </si>
  <si>
    <t>M0528</t>
  </si>
  <si>
    <t>Ustad Hotel 528</t>
  </si>
  <si>
    <t>M0438</t>
  </si>
  <si>
    <t>Frozen II 438</t>
  </si>
  <si>
    <t>M0466</t>
  </si>
  <si>
    <t>Premam 466</t>
  </si>
  <si>
    <t>M0077</t>
  </si>
  <si>
    <t>Bangalore Days 77</t>
  </si>
  <si>
    <t>M0020</t>
  </si>
  <si>
    <t>Train to Busan</t>
  </si>
  <si>
    <t>M0496</t>
  </si>
  <si>
    <t>The Menu 496</t>
  </si>
  <si>
    <t>M0586</t>
  </si>
  <si>
    <t>Inside Out 586</t>
  </si>
  <si>
    <t>M0248</t>
  </si>
  <si>
    <t>Shutter Island 248</t>
  </si>
  <si>
    <t>M0521</t>
  </si>
  <si>
    <t>3 Idiots 521</t>
  </si>
  <si>
    <t>M0240</t>
  </si>
  <si>
    <t>John Wick 4 240</t>
  </si>
  <si>
    <t>M0315</t>
  </si>
  <si>
    <t>Kumbalangi Nights 315</t>
  </si>
  <si>
    <t>M0575</t>
  </si>
  <si>
    <t>Sita Ramam 575</t>
  </si>
  <si>
    <t>M0394</t>
  </si>
  <si>
    <t>Knives Out 394</t>
  </si>
  <si>
    <t>M0096</t>
  </si>
  <si>
    <t>The Menu 96</t>
  </si>
  <si>
    <t>M0518</t>
  </si>
  <si>
    <t>Inception 518</t>
  </si>
  <si>
    <t>M0186</t>
  </si>
  <si>
    <t>Inside Out 186</t>
  </si>
  <si>
    <t>M0061</t>
  </si>
  <si>
    <t>Oppenheimer 61</t>
  </si>
  <si>
    <t>M0019</t>
  </si>
  <si>
    <t>Parasite</t>
  </si>
  <si>
    <t>M0301</t>
  </si>
  <si>
    <t>Leo 301</t>
  </si>
  <si>
    <t>M0054</t>
  </si>
  <si>
    <t>Drishyam 2 54</t>
  </si>
  <si>
    <t>M0333</t>
  </si>
  <si>
    <t>Spider-Man: No Way Home 333</t>
  </si>
  <si>
    <t>M0534</t>
  </si>
  <si>
    <t>Toy Story 4 534</t>
  </si>
  <si>
    <t>M0098</t>
  </si>
  <si>
    <t>Shutter Island 98</t>
  </si>
  <si>
    <t>M0303</t>
  </si>
  <si>
    <t>Premalu 303</t>
  </si>
  <si>
    <t>M0340</t>
  </si>
  <si>
    <t>John Wick 4 340</t>
  </si>
  <si>
    <t>M0295</t>
  </si>
  <si>
    <t>Glass Onion 295</t>
  </si>
  <si>
    <t>M0031</t>
  </si>
  <si>
    <t>The Shawshank Redemption</t>
  </si>
  <si>
    <t>M0599</t>
  </si>
  <si>
    <t>La La Land 599</t>
  </si>
  <si>
    <t>M0442</t>
  </si>
  <si>
    <t>Get Out 442</t>
  </si>
  <si>
    <t>M0232</t>
  </si>
  <si>
    <t>Avengers: Endgame 232</t>
  </si>
  <si>
    <t>M0398</t>
  </si>
  <si>
    <t>Shutter Island 398</t>
  </si>
  <si>
    <t>M0199</t>
  </si>
  <si>
    <t>La La Land 199</t>
  </si>
  <si>
    <t>M0146</t>
  </si>
  <si>
    <t>The Menu 146</t>
  </si>
  <si>
    <t>M0387</t>
  </si>
  <si>
    <t>Zootopia 387</t>
  </si>
  <si>
    <t>M0557</t>
  </si>
  <si>
    <t>RRR 557</t>
  </si>
  <si>
    <t>M0402</t>
  </si>
  <si>
    <t>Jawan 402</t>
  </si>
  <si>
    <t>M0475</t>
  </si>
  <si>
    <t>Sita Ramam 475</t>
  </si>
  <si>
    <t>M0125</t>
  </si>
  <si>
    <t>Sita Ramam 125</t>
  </si>
  <si>
    <t>M0166</t>
  </si>
  <si>
    <t>Premam 166</t>
  </si>
  <si>
    <t>M0242</t>
  </si>
  <si>
    <t>Get Out 242</t>
  </si>
  <si>
    <t>M0400</t>
  </si>
  <si>
    <t>The Notebook 400</t>
  </si>
  <si>
    <t>M0004</t>
  </si>
  <si>
    <t>Drishyam 2</t>
  </si>
  <si>
    <t>M0509</t>
  </si>
  <si>
    <t>Manjummel Boys 509</t>
  </si>
  <si>
    <t>M0149</t>
  </si>
  <si>
    <t>La La Land 149</t>
  </si>
  <si>
    <t>M0368</t>
  </si>
  <si>
    <t>Inception 368</t>
  </si>
  <si>
    <t>M0328</t>
  </si>
  <si>
    <t>Ustad Hotel 328</t>
  </si>
  <si>
    <t>M0493</t>
  </si>
  <si>
    <t>A Quiet Place 493</t>
  </si>
  <si>
    <t>M0130</t>
  </si>
  <si>
    <t>Forrest Gump 130</t>
  </si>
  <si>
    <t>M0567</t>
  </si>
  <si>
    <t>Interstellar 567</t>
  </si>
  <si>
    <t>M0491</t>
  </si>
  <si>
    <t>The Conjuring 491</t>
  </si>
  <si>
    <t>M0290</t>
  </si>
  <si>
    <t>John Wick 4 290</t>
  </si>
  <si>
    <t>M0582</t>
  </si>
  <si>
    <t>Avengers: Endgame 582</t>
  </si>
  <si>
    <t>M0486</t>
  </si>
  <si>
    <t>Inside Out 486</t>
  </si>
  <si>
    <t>M0407</t>
  </si>
  <si>
    <t>RRR 407</t>
  </si>
  <si>
    <t>M0382</t>
  </si>
  <si>
    <t>Avengers: Endgame 382</t>
  </si>
  <si>
    <t>M0332</t>
  </si>
  <si>
    <t>Avengers: Endgame 332</t>
  </si>
  <si>
    <t>M0507</t>
  </si>
  <si>
    <t>RRR 507</t>
  </si>
  <si>
    <t>M0086</t>
  </si>
  <si>
    <t>Inside Out 86</t>
  </si>
  <si>
    <t>M0204</t>
  </si>
  <si>
    <t>Drishyam 2 204</t>
  </si>
  <si>
    <t>M0477</t>
  </si>
  <si>
    <t>Bangalore Days 477</t>
  </si>
  <si>
    <t>M0102</t>
  </si>
  <si>
    <t>Jawan 102</t>
  </si>
  <si>
    <t>M0175</t>
  </si>
  <si>
    <t>Sita Ramam 175</t>
  </si>
  <si>
    <t>M0057</t>
  </si>
  <si>
    <t>RRR 57</t>
  </si>
  <si>
    <t>M0055</t>
  </si>
  <si>
    <t>Dune: Part Two 55</t>
  </si>
  <si>
    <t>M0504</t>
  </si>
  <si>
    <t>Drishyam 2 504</t>
  </si>
  <si>
    <t>M0063</t>
  </si>
  <si>
    <t>Pathaan 63</t>
  </si>
  <si>
    <t>M0289</t>
  </si>
  <si>
    <t>Top Gun: Maverick 289</t>
  </si>
  <si>
    <t>M0378</t>
  </si>
  <si>
    <t>Ustad Hotel 378</t>
  </si>
  <si>
    <t>M0074</t>
  </si>
  <si>
    <t>KGF Chapter 2 74</t>
  </si>
  <si>
    <t>M0545</t>
  </si>
  <si>
    <t>Glass Onion 545</t>
  </si>
  <si>
    <t>M0118</t>
  </si>
  <si>
    <t>Inception 118</t>
  </si>
  <si>
    <t>M0212</t>
  </si>
  <si>
    <t>Barbie 212</t>
  </si>
  <si>
    <t>M0016</t>
  </si>
  <si>
    <t>Premam</t>
  </si>
  <si>
    <t>M0362</t>
  </si>
  <si>
    <t>Barbie 362</t>
  </si>
  <si>
    <t>M0075</t>
  </si>
  <si>
    <t>Sita Ramam 75</t>
  </si>
  <si>
    <t>M0022</t>
  </si>
  <si>
    <t>Dangal</t>
  </si>
  <si>
    <t>M0215</t>
  </si>
  <si>
    <t>Kumbalangi Nights 215</t>
  </si>
  <si>
    <t>M0445</t>
  </si>
  <si>
    <t>Glass Onion 445</t>
  </si>
  <si>
    <t>M0430</t>
  </si>
  <si>
    <t>Forrest Gump 430</t>
  </si>
  <si>
    <t>M0510</t>
  </si>
  <si>
    <t>The Batman 510</t>
  </si>
  <si>
    <t>M0018</t>
  </si>
  <si>
    <t>Inception</t>
  </si>
  <si>
    <t>M0193</t>
  </si>
  <si>
    <t>A Quiet Place 193</t>
  </si>
  <si>
    <t>M0151</t>
  </si>
  <si>
    <t>Leo 151</t>
  </si>
  <si>
    <t>M0373</t>
  </si>
  <si>
    <t>Bahubali 2 373</t>
  </si>
  <si>
    <t>M0032</t>
  </si>
  <si>
    <t>Avengers: Endgame</t>
  </si>
  <si>
    <t>M0104</t>
  </si>
  <si>
    <t>Drishyam 2 104</t>
  </si>
  <si>
    <t>M0139</t>
  </si>
  <si>
    <t>Top Gun: Maverick 139</t>
  </si>
  <si>
    <t>M0226</t>
  </si>
  <si>
    <t>Jigarthanda DoubleX 226</t>
  </si>
  <si>
    <t>M0112</t>
  </si>
  <si>
    <t>Barbie 112</t>
  </si>
  <si>
    <t>M0008</t>
  </si>
  <si>
    <t>12th Fail</t>
  </si>
  <si>
    <t>M0079</t>
  </si>
  <si>
    <t>The Dark Knight 79</t>
  </si>
  <si>
    <t>M0380</t>
  </si>
  <si>
    <t>Forrest Gump 380</t>
  </si>
  <si>
    <t>M0542</t>
  </si>
  <si>
    <t>Get Out 542</t>
  </si>
  <si>
    <t>M0371</t>
  </si>
  <si>
    <t>3 Idiots 371</t>
  </si>
  <si>
    <t>M0344</t>
  </si>
  <si>
    <t>Knives Out 344</t>
  </si>
  <si>
    <t>M0366</t>
  </si>
  <si>
    <t>Premam 366</t>
  </si>
  <si>
    <t>M0084</t>
  </si>
  <si>
    <t>Toy Story 4 84</t>
  </si>
  <si>
    <t>M0285</t>
  </si>
  <si>
    <t>Coco 285</t>
  </si>
  <si>
    <t>M0076</t>
  </si>
  <si>
    <t>Jigarthanda DoubleX 76</t>
  </si>
  <si>
    <t>M0503</t>
  </si>
  <si>
    <t>Premalu 503</t>
  </si>
  <si>
    <t>M0003</t>
  </si>
  <si>
    <t>Premalu</t>
  </si>
  <si>
    <t>M0408</t>
  </si>
  <si>
    <t>12th Fail 408</t>
  </si>
  <si>
    <t>M0299</t>
  </si>
  <si>
    <t>La La Land 299</t>
  </si>
  <si>
    <t>M0080</t>
  </si>
  <si>
    <t>Forrest Gump 80</t>
  </si>
  <si>
    <t>M0270</t>
  </si>
  <si>
    <t>Train to Busan 270</t>
  </si>
  <si>
    <t>M0209</t>
  </si>
  <si>
    <t>Manjummel Boys 209</t>
  </si>
  <si>
    <t>M0342</t>
  </si>
  <si>
    <t>Get Out 342</t>
  </si>
  <si>
    <t>M0219</t>
  </si>
  <si>
    <t>Parasite 219</t>
  </si>
  <si>
    <t>M0488</t>
  </si>
  <si>
    <t>Frozen II 488</t>
  </si>
  <si>
    <t>M0470</t>
  </si>
  <si>
    <t>Train to Busan 470</t>
  </si>
  <si>
    <t>M0441</t>
  </si>
  <si>
    <t>The Conjuring 441</t>
  </si>
  <si>
    <t>M0198</t>
  </si>
  <si>
    <t>Shutter Island 198</t>
  </si>
  <si>
    <t>M0485</t>
  </si>
  <si>
    <t>Coco 485</t>
  </si>
  <si>
    <t>M0494</t>
  </si>
  <si>
    <t>Knives Out 494</t>
  </si>
  <si>
    <t>M0140</t>
  </si>
  <si>
    <t>John Wick 4 140</t>
  </si>
  <si>
    <t>M0168</t>
  </si>
  <si>
    <t>Inception 168</t>
  </si>
  <si>
    <t>M0355</t>
  </si>
  <si>
    <t>Dune: Part Two 355</t>
  </si>
  <si>
    <t>M0404</t>
  </si>
  <si>
    <t>Drishyam 2 404</t>
  </si>
  <si>
    <t>M0396</t>
  </si>
  <si>
    <t>The Menu 396</t>
  </si>
  <si>
    <t>M0573</t>
  </si>
  <si>
    <t>Bahubali 2 573</t>
  </si>
  <si>
    <t>M0279</t>
  </si>
  <si>
    <t>The Dark Knight 279</t>
  </si>
  <si>
    <t>M0480</t>
  </si>
  <si>
    <t>Forrest Gump 480</t>
  </si>
  <si>
    <t>M0101</t>
  </si>
  <si>
    <t>Leo 101</t>
  </si>
  <si>
    <t>M0306</t>
  </si>
  <si>
    <t>Kantara 306</t>
  </si>
  <si>
    <t>M0595</t>
  </si>
  <si>
    <t>Glass Onion 595</t>
  </si>
  <si>
    <t>M0311</t>
  </si>
  <si>
    <t>Oppenheimer 311</t>
  </si>
  <si>
    <t>M0572</t>
  </si>
  <si>
    <t>Dangal 572</t>
  </si>
  <si>
    <t>M0322</t>
  </si>
  <si>
    <t>Dangal 322</t>
  </si>
  <si>
    <t>M0269</t>
  </si>
  <si>
    <t>Parasite 269</t>
  </si>
  <si>
    <t>M0467</t>
  </si>
  <si>
    <t>Interstellar 467</t>
  </si>
  <si>
    <t>M0600</t>
  </si>
  <si>
    <t>The Notebook 600</t>
  </si>
  <si>
    <t>M0155</t>
  </si>
  <si>
    <t>Dune: Part Two 155</t>
  </si>
  <si>
    <t>M0132</t>
  </si>
  <si>
    <t>Avengers: Endgame 132</t>
  </si>
  <si>
    <t>M0231</t>
  </si>
  <si>
    <t>The Shawshank Redemption 231</t>
  </si>
  <si>
    <t>M0375</t>
  </si>
  <si>
    <t>Sita Ramam 375</t>
  </si>
  <si>
    <t>M0271</t>
  </si>
  <si>
    <t>3 Idiots 271</t>
  </si>
  <si>
    <t>M0115</t>
  </si>
  <si>
    <t>Kumbalangi Nights 115</t>
  </si>
  <si>
    <t>M0403</t>
  </si>
  <si>
    <t>Premalu 403</t>
  </si>
  <si>
    <t>M0218</t>
  </si>
  <si>
    <t>Inception 218</t>
  </si>
  <si>
    <t>M0596</t>
  </si>
  <si>
    <t>The Menu 596</t>
  </si>
  <si>
    <t>M0288</t>
  </si>
  <si>
    <t>Frozen II 288</t>
  </si>
  <si>
    <t>M0091</t>
  </si>
  <si>
    <t>The Conjuring 91</t>
  </si>
  <si>
    <t>M0211</t>
  </si>
  <si>
    <t>Oppenheimer 211</t>
  </si>
  <si>
    <t>M0227</t>
  </si>
  <si>
    <t>Bangalore Days 227</t>
  </si>
  <si>
    <t>M0584</t>
  </si>
  <si>
    <t>Toy Story 4 584</t>
  </si>
  <si>
    <t>M0237</t>
  </si>
  <si>
    <t>Zootopia 237</t>
  </si>
  <si>
    <t>M0397</t>
  </si>
  <si>
    <t>Gone Girl 397</t>
  </si>
  <si>
    <t>M0358</t>
  </si>
  <si>
    <t>12th Fail 358</t>
  </si>
  <si>
    <t>M0351</t>
  </si>
  <si>
    <t>Leo 351</t>
  </si>
  <si>
    <t>M0424</t>
  </si>
  <si>
    <t>KGF Chapter 2 424</t>
  </si>
  <si>
    <t>M0300</t>
  </si>
  <si>
    <t>The Notebook 300</t>
  </si>
  <si>
    <t>M0152</t>
  </si>
  <si>
    <t>Jawan 152</t>
  </si>
  <si>
    <t>M0501</t>
  </si>
  <si>
    <t>Leo 501</t>
  </si>
  <si>
    <t>M0365</t>
  </si>
  <si>
    <t>Kumbalangi Nights 365</t>
  </si>
  <si>
    <t>M0095</t>
  </si>
  <si>
    <t>Glass Onion 95</t>
  </si>
  <si>
    <t>M0356</t>
  </si>
  <si>
    <t>Kantara 356</t>
  </si>
  <si>
    <t>M0482</t>
  </si>
  <si>
    <t>Avengers: Endgame 482</t>
  </si>
  <si>
    <t>M0345</t>
  </si>
  <si>
    <t>Glass Onion 345</t>
  </si>
  <si>
    <t>M0565</t>
  </si>
  <si>
    <t>Kumbalangi Nights 565</t>
  </si>
  <si>
    <t>M0264</t>
  </si>
  <si>
    <t>Vikram 264</t>
  </si>
  <si>
    <t>M0260</t>
  </si>
  <si>
    <t>The Batman 260</t>
  </si>
  <si>
    <t>M0574</t>
  </si>
  <si>
    <t>KGF Chapter 2 574</t>
  </si>
  <si>
    <t>M0560</t>
  </si>
  <si>
    <t>The Batman 560</t>
  </si>
  <si>
    <t>M0446</t>
  </si>
  <si>
    <t>The Menu 446</t>
  </si>
  <si>
    <t>M0377</t>
  </si>
  <si>
    <t>Bangalore Days 377</t>
  </si>
  <si>
    <t>M0251</t>
  </si>
  <si>
    <t>Leo 251</t>
  </si>
  <si>
    <t>M0119</t>
  </si>
  <si>
    <t>Parasite 119</t>
  </si>
  <si>
    <t>M0037</t>
  </si>
  <si>
    <t>Zootopia</t>
  </si>
  <si>
    <t>M0335</t>
  </si>
  <si>
    <t>Coco 335</t>
  </si>
  <si>
    <t>M0538</t>
  </si>
  <si>
    <t>Frozen II 538</t>
  </si>
  <si>
    <t>M0463</t>
  </si>
  <si>
    <t>Pathaan 463</t>
  </si>
  <si>
    <t>M0159</t>
  </si>
  <si>
    <t>Manjummel Boys 159</t>
  </si>
  <si>
    <t>M0593</t>
  </si>
  <si>
    <t>A Quiet Place 593</t>
  </si>
  <si>
    <t>M0001</t>
  </si>
  <si>
    <t>Leo</t>
  </si>
  <si>
    <t>M0042</t>
  </si>
  <si>
    <t>Get Out</t>
  </si>
  <si>
    <t>M0035</t>
  </si>
  <si>
    <t>Coco</t>
  </si>
  <si>
    <t>M0145</t>
  </si>
  <si>
    <t>Glass Onion 145</t>
  </si>
  <si>
    <t>M0577</t>
  </si>
  <si>
    <t>Bangalore Days 577</t>
  </si>
  <si>
    <t>M0069</t>
  </si>
  <si>
    <t>Parasite 69</t>
  </si>
  <si>
    <t>M0330</t>
  </si>
  <si>
    <t>Forrest Gump 330</t>
  </si>
  <si>
    <t>M0011</t>
  </si>
  <si>
    <t>Oppenheimer</t>
  </si>
  <si>
    <t>M0455</t>
  </si>
  <si>
    <t>Dune: Part Two 455</t>
  </si>
  <si>
    <t>M0338</t>
  </si>
  <si>
    <t>Frozen II 338</t>
  </si>
  <si>
    <t>M0553</t>
  </si>
  <si>
    <t>Premalu 553</t>
  </si>
  <si>
    <t>M0238</t>
  </si>
  <si>
    <t>Frozen II 238</t>
  </si>
  <si>
    <t>M0190</t>
  </si>
  <si>
    <t>John Wick 4 190</t>
  </si>
  <si>
    <t>M0492</t>
  </si>
  <si>
    <t>Get Out 492</t>
  </si>
  <si>
    <t>M0585</t>
  </si>
  <si>
    <t>Coco 585</t>
  </si>
  <si>
    <t>M0550</t>
  </si>
  <si>
    <t>The Notebook 550</t>
  </si>
  <si>
    <t>M0258</t>
  </si>
  <si>
    <t>12th Fail 258</t>
  </si>
  <si>
    <t>M0298</t>
  </si>
  <si>
    <t>Shutter Island 298</t>
  </si>
  <si>
    <t>M0194</t>
  </si>
  <si>
    <t>Knives Out 194</t>
  </si>
  <si>
    <t>M0409</t>
  </si>
  <si>
    <t>Manjummel Boys 409</t>
  </si>
  <si>
    <t>M0349</t>
  </si>
  <si>
    <t>La La Land 349</t>
  </si>
  <si>
    <t>M0039</t>
  </si>
  <si>
    <t>Top Gun: Maverick</t>
  </si>
  <si>
    <t>M0498</t>
  </si>
  <si>
    <t>Shutter Island 498</t>
  </si>
  <si>
    <t>M0108</t>
  </si>
  <si>
    <t>12th Fail 108</t>
  </si>
  <si>
    <t>M0286</t>
  </si>
  <si>
    <t>Inside Out 286</t>
  </si>
  <si>
    <t>M0082</t>
  </si>
  <si>
    <t>Avengers: Endgame 82</t>
  </si>
  <si>
    <t>M0126</t>
  </si>
  <si>
    <t>Jigarthanda DoubleX 126</t>
  </si>
  <si>
    <t>M0471</t>
  </si>
  <si>
    <t>3 Idiots 471</t>
  </si>
  <si>
    <t>M0421</t>
  </si>
  <si>
    <t>3 Idiots 421</t>
  </si>
  <si>
    <t>M0184</t>
  </si>
  <si>
    <t>Toy Story 4 184</t>
  </si>
  <si>
    <t>M0247</t>
  </si>
  <si>
    <t>Gone Girl 247</t>
  </si>
  <si>
    <t>M0206</t>
  </si>
  <si>
    <t>Kantara 206</t>
  </si>
  <si>
    <t>M0268</t>
  </si>
  <si>
    <t>Inception 268</t>
  </si>
  <si>
    <t>M0050</t>
  </si>
  <si>
    <t>The Notebook</t>
  </si>
  <si>
    <t>M0537</t>
  </si>
  <si>
    <t>Zootopia 537</t>
  </si>
  <si>
    <t>M0587</t>
  </si>
  <si>
    <t>Zootopia 587</t>
  </si>
  <si>
    <t>M0540</t>
  </si>
  <si>
    <t>John Wick 4 540</t>
  </si>
  <si>
    <t>M0068</t>
  </si>
  <si>
    <t>Inception 68</t>
  </si>
  <si>
    <t>M0559</t>
  </si>
  <si>
    <t>Manjummel Boys 559</t>
  </si>
  <si>
    <t>M0346</t>
  </si>
  <si>
    <t>The Menu 346</t>
  </si>
  <si>
    <t>M0331</t>
  </si>
  <si>
    <t>The Shawshank Redemption 331</t>
  </si>
  <si>
    <t>M0343</t>
  </si>
  <si>
    <t>A Quiet Place 343</t>
  </si>
  <si>
    <t>M0162</t>
  </si>
  <si>
    <t>Barbie 162</t>
  </si>
  <si>
    <t>M0002</t>
  </si>
  <si>
    <t>Jawan</t>
  </si>
  <si>
    <t>M0308</t>
  </si>
  <si>
    <t>12th Fail 308</t>
  </si>
  <si>
    <t>M0514</t>
  </si>
  <si>
    <t>Vikram 514</t>
  </si>
  <si>
    <t>M0228</t>
  </si>
  <si>
    <t>Ustad Hotel 228</t>
  </si>
  <si>
    <t>M0508</t>
  </si>
  <si>
    <t>12th Fail 508</t>
  </si>
  <si>
    <t>M0589</t>
  </si>
  <si>
    <t>Top Gun: Maverick 589</t>
  </si>
  <si>
    <t>M0353</t>
  </si>
  <si>
    <t>Premalu 353</t>
  </si>
  <si>
    <t>M0296</t>
  </si>
  <si>
    <t>The Menu 296</t>
  </si>
  <si>
    <t>M0531</t>
  </si>
  <si>
    <t>The Shawshank Redemption 531</t>
  </si>
  <si>
    <t>M0006</t>
  </si>
  <si>
    <t>Kantara</t>
  </si>
  <si>
    <t>M0304</t>
  </si>
  <si>
    <t>Drishyam 2 304</t>
  </si>
  <si>
    <t>M0207</t>
  </si>
  <si>
    <t>RRR 207</t>
  </si>
  <si>
    <t>M0221</t>
  </si>
  <si>
    <t>3 Idiots 221</t>
  </si>
  <si>
    <t>M0154</t>
  </si>
  <si>
    <t>Drishyam 2 154</t>
  </si>
  <si>
    <t>M0065</t>
  </si>
  <si>
    <t>Kumbalangi Nights 65</t>
  </si>
  <si>
    <t>M0282</t>
  </si>
  <si>
    <t>Avengers: Endgame 282</t>
  </si>
  <si>
    <t>M0435</t>
  </si>
  <si>
    <t>Coco 435</t>
  </si>
  <si>
    <t>M0009</t>
  </si>
  <si>
    <t>Manjummel Boys</t>
  </si>
  <si>
    <t>M0034</t>
  </si>
  <si>
    <t>Toy Story 4</t>
  </si>
  <si>
    <t>M0122</t>
  </si>
  <si>
    <t>Dangal 122</t>
  </si>
  <si>
    <t>M0323</t>
  </si>
  <si>
    <t>Bahubali 2 323</t>
  </si>
  <si>
    <t>M0511</t>
  </si>
  <si>
    <t>Oppenheimer 511</t>
  </si>
  <si>
    <t>M0182</t>
  </si>
  <si>
    <t>Avengers: Endgame 182</t>
  </si>
  <si>
    <t>M0410</t>
  </si>
  <si>
    <t>The Batman 410</t>
  </si>
  <si>
    <t>M0064</t>
  </si>
  <si>
    <t>Vikram 64</t>
  </si>
  <si>
    <t>M0113</t>
  </si>
  <si>
    <t>Pathaan 113</t>
  </si>
  <si>
    <t>M0161</t>
  </si>
  <si>
    <t>Oppenheimer 161</t>
  </si>
  <si>
    <t>M0597</t>
  </si>
  <si>
    <t>Gone Girl 597</t>
  </si>
  <si>
    <t>M0417</t>
  </si>
  <si>
    <t>Interstellar 417</t>
  </si>
  <si>
    <t>M0287</t>
  </si>
  <si>
    <t>Zootopia 287</t>
  </si>
  <si>
    <t>M0389</t>
  </si>
  <si>
    <t>Top Gun: Maverick 389</t>
  </si>
  <si>
    <t>M0484</t>
  </si>
  <si>
    <t>Toy Story 4 484</t>
  </si>
  <si>
    <t>M0236</t>
  </si>
  <si>
    <t>Inside Out 236</t>
  </si>
  <si>
    <t>M0326</t>
  </si>
  <si>
    <t>Jigarthanda DoubleX 326</t>
  </si>
  <si>
    <t>M0134</t>
  </si>
  <si>
    <t>Toy Story 4 134</t>
  </si>
  <si>
    <t>M0385</t>
  </si>
  <si>
    <t>Coco 385</t>
  </si>
  <si>
    <t>M0465</t>
  </si>
  <si>
    <t>Kumbalangi Nights 465</t>
  </si>
  <si>
    <t>M0138</t>
  </si>
  <si>
    <t>Frozen II 138</t>
  </si>
  <si>
    <t>M0029</t>
  </si>
  <si>
    <t>The Dark Knight</t>
  </si>
  <si>
    <t>M0469</t>
  </si>
  <si>
    <t>Parasite 469</t>
  </si>
  <si>
    <t>M0272</t>
  </si>
  <si>
    <t>Dangal 272</t>
  </si>
  <si>
    <t>M0241</t>
  </si>
  <si>
    <t>The Conjuring 241</t>
  </si>
  <si>
    <t>M0476</t>
  </si>
  <si>
    <t>Jigarthanda DoubleX 476</t>
  </si>
  <si>
    <t>M0249</t>
  </si>
  <si>
    <t>La La Land 249</t>
  </si>
  <si>
    <t>M0292</t>
  </si>
  <si>
    <t>Get Out 292</t>
  </si>
  <si>
    <t>M0081</t>
  </si>
  <si>
    <t>The Shawshank Redemption 81</t>
  </si>
  <si>
    <t>M0310</t>
  </si>
  <si>
    <t>The Batman 310</t>
  </si>
  <si>
    <t>M0561</t>
  </si>
  <si>
    <t>Oppenheimer 561</t>
  </si>
  <si>
    <t>M0483</t>
  </si>
  <si>
    <t>Spider-Man: No Way Home 483</t>
  </si>
  <si>
    <t>M0051</t>
  </si>
  <si>
    <t>Leo 51</t>
  </si>
  <si>
    <t>M0275</t>
  </si>
  <si>
    <t>Sita Ramam 275</t>
  </si>
  <si>
    <t>M0487</t>
  </si>
  <si>
    <t>Zootopia 487</t>
  </si>
  <si>
    <t>M0185</t>
  </si>
  <si>
    <t>Coco 185</t>
  </si>
  <si>
    <t>M0316</t>
  </si>
  <si>
    <t>Premam 316</t>
  </si>
  <si>
    <t>M0239</t>
  </si>
  <si>
    <t>Top Gun: Maverick 239</t>
  </si>
  <si>
    <t>M0305</t>
  </si>
  <si>
    <t>Dune: Part Two 305</t>
  </si>
  <si>
    <t>M0123</t>
  </si>
  <si>
    <t>Bahubali 2 123</t>
  </si>
  <si>
    <t>M0234</t>
  </si>
  <si>
    <t>Toy Story 4 234</t>
  </si>
  <si>
    <t>M0254</t>
  </si>
  <si>
    <t>Drishyam 2 254</t>
  </si>
  <si>
    <t>M0429</t>
  </si>
  <si>
    <t>The Dark Knight 429</t>
  </si>
  <si>
    <t>M0448</t>
  </si>
  <si>
    <t>Shutter Island 448</t>
  </si>
  <si>
    <t>M0203</t>
  </si>
  <si>
    <t>Premalu 203</t>
  </si>
  <si>
    <t>M0512</t>
  </si>
  <si>
    <t>Barbie 512</t>
  </si>
  <si>
    <t>M0420</t>
  </si>
  <si>
    <t>Train to Busan 420</t>
  </si>
  <si>
    <t>M0121</t>
  </si>
  <si>
    <t>3 Idiots 121</t>
  </si>
  <si>
    <t>M0369</t>
  </si>
  <si>
    <t>Parasite 369</t>
  </si>
  <si>
    <t>M0049</t>
  </si>
  <si>
    <t>La La Land</t>
  </si>
  <si>
    <t>M0208</t>
  </si>
  <si>
    <t>12th Fail 208</t>
  </si>
  <si>
    <t>movie category</t>
  </si>
  <si>
    <t>AUGUST</t>
  </si>
  <si>
    <t>SURIYA</t>
  </si>
  <si>
    <t>DECEMBER</t>
  </si>
  <si>
    <t>TOM HOLLAND</t>
  </si>
  <si>
    <t>ALIA BHATT</t>
  </si>
  <si>
    <t>JULY</t>
  </si>
  <si>
    <t>LEONARDO DICAPRIO</t>
  </si>
  <si>
    <t>SHAH RUKH KHAN</t>
  </si>
  <si>
    <t>JANUARY</t>
  </si>
  <si>
    <t>ROBERT DOWNEY JR.</t>
  </si>
  <si>
    <t>NANI</t>
  </si>
  <si>
    <t>JUNE</t>
  </si>
  <si>
    <t>MARCH</t>
  </si>
  <si>
    <t>FEBRUARY</t>
  </si>
  <si>
    <t>CHRISTIAN BALE</t>
  </si>
  <si>
    <t>MAY</t>
  </si>
  <si>
    <t>VIJAY</t>
  </si>
  <si>
    <t>OCTOBER</t>
  </si>
  <si>
    <t>APRIL</t>
  </si>
  <si>
    <t>FAHADH FAASIL</t>
  </si>
  <si>
    <t>SEPTEMBER</t>
  </si>
  <si>
    <t>RYAN GOSLING</t>
  </si>
  <si>
    <t>RAJINIKANTH</t>
  </si>
  <si>
    <t>RANBIR KAPOOR</t>
  </si>
  <si>
    <t>MOHANLAL</t>
  </si>
  <si>
    <t>PRABHAS</t>
  </si>
  <si>
    <t>NOVEMBER</t>
  </si>
  <si>
    <t>DHANUSH</t>
  </si>
  <si>
    <t>MAMMOOTTY</t>
  </si>
  <si>
    <t>DULQUER SALMAAN</t>
  </si>
  <si>
    <t>Total Movies by Platform</t>
  </si>
  <si>
    <t>Total Movies by Genre</t>
  </si>
  <si>
    <t>Movie Releases by Year</t>
  </si>
  <si>
    <t>Average Rating by Platform</t>
  </si>
  <si>
    <t>Revenue by Genre</t>
  </si>
  <si>
    <t>Movies by Language</t>
  </si>
  <si>
    <t>Platform vs Genre</t>
  </si>
  <si>
    <t>Count of Movie Name</t>
  </si>
  <si>
    <t>Total</t>
  </si>
  <si>
    <t>Grand Total</t>
  </si>
  <si>
    <t>12th Fail Total</t>
  </si>
  <si>
    <t>12th Fail 108 Total</t>
  </si>
  <si>
    <t>12th Fail 158 Total</t>
  </si>
  <si>
    <t>12th Fail 208 Total</t>
  </si>
  <si>
    <t>12th Fail 258 Total</t>
  </si>
  <si>
    <t>12th Fail 308 Total</t>
  </si>
  <si>
    <t>12th Fail 358 Total</t>
  </si>
  <si>
    <t>12th Fail 408 Total</t>
  </si>
  <si>
    <t>12th Fail 458 Total</t>
  </si>
  <si>
    <t>12th Fail 508 Total</t>
  </si>
  <si>
    <t>12th Fail 558 Total</t>
  </si>
  <si>
    <t>12th Fail 58 Total</t>
  </si>
  <si>
    <t>3 Idiots Total</t>
  </si>
  <si>
    <t>3 Idiots 121 Total</t>
  </si>
  <si>
    <t>3 Idiots 171 Total</t>
  </si>
  <si>
    <t>3 Idiots 221 Total</t>
  </si>
  <si>
    <t>3 Idiots 271 Total</t>
  </si>
  <si>
    <t>3 Idiots 321 Total</t>
  </si>
  <si>
    <t>3 Idiots 421 Total</t>
  </si>
  <si>
    <t>3 Idiots 471 Total</t>
  </si>
  <si>
    <t>3 Idiots 521 Total</t>
  </si>
  <si>
    <t>3 Idiots 571 Total</t>
  </si>
  <si>
    <t>3 Idiots 71 Total</t>
  </si>
  <si>
    <t>A Quiet Place Total</t>
  </si>
  <si>
    <t>A Quiet Place 143 Total</t>
  </si>
  <si>
    <t>A Quiet Place 193 Total</t>
  </si>
  <si>
    <t>A Quiet Place 243 Total</t>
  </si>
  <si>
    <t>A Quiet Place 293 Total</t>
  </si>
  <si>
    <t>A Quiet Place 343 Total</t>
  </si>
  <si>
    <t>A Quiet Place 393 Total</t>
  </si>
  <si>
    <t>A Quiet Place 443 Total</t>
  </si>
  <si>
    <t>A Quiet Place 493 Total</t>
  </si>
  <si>
    <t>A Quiet Place 543 Total</t>
  </si>
  <si>
    <t>A Quiet Place 593 Total</t>
  </si>
  <si>
    <t>A Quiet Place 93 Total</t>
  </si>
  <si>
    <t>Avengers: Endgame Total</t>
  </si>
  <si>
    <t>Avengers: Endgame 132 Total</t>
  </si>
  <si>
    <t>Avengers: Endgame 182 Total</t>
  </si>
  <si>
    <t>Avengers: Endgame 232 Total</t>
  </si>
  <si>
    <t>Avengers: Endgame 282 Total</t>
  </si>
  <si>
    <t>Avengers: Endgame 332 Total</t>
  </si>
  <si>
    <t>Avengers: Endgame 382 Total</t>
  </si>
  <si>
    <t>Avengers: Endgame 432 Total</t>
  </si>
  <si>
    <t>Avengers: Endgame 482 Total</t>
  </si>
  <si>
    <t>Avengers: Endgame 532 Total</t>
  </si>
  <si>
    <t>Avengers: Endgame 582 Total</t>
  </si>
  <si>
    <t>Avengers: Endgame 82 Total</t>
  </si>
  <si>
    <t>Bahubali 2 Total</t>
  </si>
  <si>
    <t>Bahubali 2 123 Total</t>
  </si>
  <si>
    <t>Bahubali 2 173 Total</t>
  </si>
  <si>
    <t>Bahubali 2 223 Total</t>
  </si>
  <si>
    <t>Bahubali 2 273 Total</t>
  </si>
  <si>
    <t>Bahubali 2 323 Total</t>
  </si>
  <si>
    <t>Bahubali 2 373 Total</t>
  </si>
  <si>
    <t>Bahubali 2 423 Total</t>
  </si>
  <si>
    <t>Bahubali 2 473 Total</t>
  </si>
  <si>
    <t>Bahubali 2 523 Total</t>
  </si>
  <si>
    <t>Bahubali 2 573 Total</t>
  </si>
  <si>
    <t>Bahubali 2 73 Total</t>
  </si>
  <si>
    <t>Bangalore Days Total</t>
  </si>
  <si>
    <t>Bangalore Days 127 Total</t>
  </si>
  <si>
    <t>Bangalore Days 177 Total</t>
  </si>
  <si>
    <t>Bangalore Days 227 Total</t>
  </si>
  <si>
    <t>Bangalore Days 277 Total</t>
  </si>
  <si>
    <t>Bangalore Days 327 Total</t>
  </si>
  <si>
    <t>Bangalore Days 377 Total</t>
  </si>
  <si>
    <t>Bangalore Days 427 Total</t>
  </si>
  <si>
    <t>Bangalore Days 527 Total</t>
  </si>
  <si>
    <t>Bangalore Days 577 Total</t>
  </si>
  <si>
    <t>Bangalore Days 77 Total</t>
  </si>
  <si>
    <t>Barbie Total</t>
  </si>
  <si>
    <t>Barbie 112 Total</t>
  </si>
  <si>
    <t>Barbie 162 Total</t>
  </si>
  <si>
    <t>Barbie 262 Total</t>
  </si>
  <si>
    <t>Barbie 312 Total</t>
  </si>
  <si>
    <t>Barbie 362 Total</t>
  </si>
  <si>
    <t>Barbie 412 Total</t>
  </si>
  <si>
    <t>Barbie 462 Total</t>
  </si>
  <si>
    <t>Barbie 512 Total</t>
  </si>
  <si>
    <t>Barbie 562 Total</t>
  </si>
  <si>
    <t>Barbie 62 Total</t>
  </si>
  <si>
    <t>Coco Total</t>
  </si>
  <si>
    <t>Coco 135 Total</t>
  </si>
  <si>
    <t>Coco 185 Total</t>
  </si>
  <si>
    <t>Coco 235 Total</t>
  </si>
  <si>
    <t>Coco 285 Total</t>
  </si>
  <si>
    <t>Coco 335 Total</t>
  </si>
  <si>
    <t>Coco 385 Total</t>
  </si>
  <si>
    <t>Coco 435 Total</t>
  </si>
  <si>
    <t>Coco 485 Total</t>
  </si>
  <si>
    <t>Coco 535 Total</t>
  </si>
  <si>
    <t>Coco 585 Total</t>
  </si>
  <si>
    <t>Coco 85 Total</t>
  </si>
  <si>
    <t>Dangal Total</t>
  </si>
  <si>
    <t>Dangal 122 Total</t>
  </si>
  <si>
    <t>Dangal 172 Total</t>
  </si>
  <si>
    <t>Dangal 222 Total</t>
  </si>
  <si>
    <t>Dangal 272 Total</t>
  </si>
  <si>
    <t>Dangal 322 Total</t>
  </si>
  <si>
    <t>Dangal 372 Total</t>
  </si>
  <si>
    <t>Dangal 422 Total</t>
  </si>
  <si>
    <t>Dangal 472 Total</t>
  </si>
  <si>
    <t>Dangal 522 Total</t>
  </si>
  <si>
    <t>Dangal 572 Total</t>
  </si>
  <si>
    <t>Dangal 72 Total</t>
  </si>
  <si>
    <t>Drishyam 2 Total</t>
  </si>
  <si>
    <t>Drishyam 2 104 Total</t>
  </si>
  <si>
    <t>Drishyam 2 154 Total</t>
  </si>
  <si>
    <t>Drishyam 2 204 Total</t>
  </si>
  <si>
    <t>Drishyam 2 254 Total</t>
  </si>
  <si>
    <t>Drishyam 2 304 Total</t>
  </si>
  <si>
    <t>Drishyam 2 354 Total</t>
  </si>
  <si>
    <t>Drishyam 2 404 Total</t>
  </si>
  <si>
    <t>Drishyam 2 454 Total</t>
  </si>
  <si>
    <t>Drishyam 2 504 Total</t>
  </si>
  <si>
    <t>Drishyam 2 54 Total</t>
  </si>
  <si>
    <t>Drishyam 2 554 Total</t>
  </si>
  <si>
    <t>Dune: Part Two Total</t>
  </si>
  <si>
    <t>Dune: Part Two 105 Total</t>
  </si>
  <si>
    <t>Dune: Part Two 155 Total</t>
  </si>
  <si>
    <t>Dune: Part Two 205 Total</t>
  </si>
  <si>
    <t>Dune: Part Two 255 Total</t>
  </si>
  <si>
    <t>Dune: Part Two 305 Total</t>
  </si>
  <si>
    <t>Dune: Part Two 355 Total</t>
  </si>
  <si>
    <t>Dune: Part Two 405 Total</t>
  </si>
  <si>
    <t>Dune: Part Two 455 Total</t>
  </si>
  <si>
    <t>Dune: Part Two 505 Total</t>
  </si>
  <si>
    <t>Dune: Part Two 55 Total</t>
  </si>
  <si>
    <t>Dune: Part Two 555 Total</t>
  </si>
  <si>
    <t>Forrest Gump Total</t>
  </si>
  <si>
    <t>Forrest Gump 130 Total</t>
  </si>
  <si>
    <t>Forrest Gump 180 Total</t>
  </si>
  <si>
    <t>Forrest Gump 230 Total</t>
  </si>
  <si>
    <t>Forrest Gump 280 Total</t>
  </si>
  <si>
    <t>Forrest Gump 330 Total</t>
  </si>
  <si>
    <t>Forrest Gump 380 Total</t>
  </si>
  <si>
    <t>Forrest Gump 430 Total</t>
  </si>
  <si>
    <t>Forrest Gump 480 Total</t>
  </si>
  <si>
    <t>Forrest Gump 530 Total</t>
  </si>
  <si>
    <t>Forrest Gump 580 Total</t>
  </si>
  <si>
    <t>Forrest Gump 80 Total</t>
  </si>
  <si>
    <t>Frozen II Total</t>
  </si>
  <si>
    <t>Frozen II 138 Total</t>
  </si>
  <si>
    <t>Frozen II 188 Total</t>
  </si>
  <si>
    <t>Frozen II 238 Total</t>
  </si>
  <si>
    <t>Frozen II 288 Total</t>
  </si>
  <si>
    <t>Frozen II 338 Total</t>
  </si>
  <si>
    <t>Frozen II 388 Total</t>
  </si>
  <si>
    <t>Frozen II 438 Total</t>
  </si>
  <si>
    <t>Frozen II 488 Total</t>
  </si>
  <si>
    <t>Frozen II 538 Total</t>
  </si>
  <si>
    <t>Frozen II 588 Total</t>
  </si>
  <si>
    <t>Frozen II 88 Total</t>
  </si>
  <si>
    <t>Get Out Total</t>
  </si>
  <si>
    <t>Get Out 142 Total</t>
  </si>
  <si>
    <t>Get Out 192 Total</t>
  </si>
  <si>
    <t>Get Out 242 Total</t>
  </si>
  <si>
    <t>Get Out 292 Total</t>
  </si>
  <si>
    <t>Get Out 342 Total</t>
  </si>
  <si>
    <t>Get Out 392 Total</t>
  </si>
  <si>
    <t>Get Out 442 Total</t>
  </si>
  <si>
    <t>Get Out 492 Total</t>
  </si>
  <si>
    <t>Get Out 542 Total</t>
  </si>
  <si>
    <t>Get Out 592 Total</t>
  </si>
  <si>
    <t>Get Out 92 Total</t>
  </si>
  <si>
    <t>Glass Onion Total</t>
  </si>
  <si>
    <t>Glass Onion 145 Total</t>
  </si>
  <si>
    <t>Glass Onion 195 Total</t>
  </si>
  <si>
    <t>Glass Onion 245 Total</t>
  </si>
  <si>
    <t>Glass Onion 295 Total</t>
  </si>
  <si>
    <t>Glass Onion 345 Total</t>
  </si>
  <si>
    <t>Glass Onion 395 Total</t>
  </si>
  <si>
    <t>Glass Onion 445 Total</t>
  </si>
  <si>
    <t>Glass Onion 495 Total</t>
  </si>
  <si>
    <t>Glass Onion 545 Total</t>
  </si>
  <si>
    <t>Glass Onion 595 Total</t>
  </si>
  <si>
    <t>Glass Onion 95 Total</t>
  </si>
  <si>
    <t>Gone Girl Total</t>
  </si>
  <si>
    <t>Gone Girl 147 Total</t>
  </si>
  <si>
    <t>Gone Girl 197 Total</t>
  </si>
  <si>
    <t>Gone Girl 247 Total</t>
  </si>
  <si>
    <t>Gone Girl 297 Total</t>
  </si>
  <si>
    <t>Gone Girl 347 Total</t>
  </si>
  <si>
    <t>Gone Girl 397 Total</t>
  </si>
  <si>
    <t>Gone Girl 447 Total</t>
  </si>
  <si>
    <t>Gone Girl 497 Total</t>
  </si>
  <si>
    <t>Gone Girl 547 Total</t>
  </si>
  <si>
    <t>Gone Girl 597 Total</t>
  </si>
  <si>
    <t>Gone Girl 97 Total</t>
  </si>
  <si>
    <t>Inception Total</t>
  </si>
  <si>
    <t>Inception 118 Total</t>
  </si>
  <si>
    <t>Inception 168 Total</t>
  </si>
  <si>
    <t>Inception 218 Total</t>
  </si>
  <si>
    <t>Inception 268 Total</t>
  </si>
  <si>
    <t>Inception 368 Total</t>
  </si>
  <si>
    <t>Inception 418 Total</t>
  </si>
  <si>
    <t>Inception 468 Total</t>
  </si>
  <si>
    <t>Inception 518 Total</t>
  </si>
  <si>
    <t>Inception 568 Total</t>
  </si>
  <si>
    <t>Inception 68 Total</t>
  </si>
  <si>
    <t>Inside Out Total</t>
  </si>
  <si>
    <t>Inside Out 136 Total</t>
  </si>
  <si>
    <t>Inside Out 186 Total</t>
  </si>
  <si>
    <t>Inside Out 236 Total</t>
  </si>
  <si>
    <t>Inside Out 286 Total</t>
  </si>
  <si>
    <t>Inside Out 336 Total</t>
  </si>
  <si>
    <t>Inside Out 386 Total</t>
  </si>
  <si>
    <t>Inside Out 436 Total</t>
  </si>
  <si>
    <t>Inside Out 486 Total</t>
  </si>
  <si>
    <t>Inside Out 536 Total</t>
  </si>
  <si>
    <t>Inside Out 586 Total</t>
  </si>
  <si>
    <t>Inside Out 86 Total</t>
  </si>
  <si>
    <t>Interstellar Total</t>
  </si>
  <si>
    <t>Interstellar 117 Total</t>
  </si>
  <si>
    <t>Interstellar 167 Total</t>
  </si>
  <si>
    <t>Interstellar 217 Total</t>
  </si>
  <si>
    <t>Interstellar 267 Total</t>
  </si>
  <si>
    <t>Interstellar 317 Total</t>
  </si>
  <si>
    <t>Interstellar 367 Total</t>
  </si>
  <si>
    <t>Interstellar 417 Total</t>
  </si>
  <si>
    <t>Interstellar 467 Total</t>
  </si>
  <si>
    <t>Interstellar 517 Total</t>
  </si>
  <si>
    <t>Interstellar 567 Total</t>
  </si>
  <si>
    <t>Interstellar 67 Total</t>
  </si>
  <si>
    <t>Jawan Total</t>
  </si>
  <si>
    <t>Jawan 102 Total</t>
  </si>
  <si>
    <t>Jawan 152 Total</t>
  </si>
  <si>
    <t>Jawan 202 Total</t>
  </si>
  <si>
    <t>Jawan 252 Total</t>
  </si>
  <si>
    <t>Jawan 302 Total</t>
  </si>
  <si>
    <t>Jawan 352 Total</t>
  </si>
  <si>
    <t>Jawan 402 Total</t>
  </si>
  <si>
    <t>Jawan 452 Total</t>
  </si>
  <si>
    <t>Jawan 502 Total</t>
  </si>
  <si>
    <t>Jawan 52 Total</t>
  </si>
  <si>
    <t>Jawan 552 Total</t>
  </si>
  <si>
    <t>Jigarthanda DoubleX Total</t>
  </si>
  <si>
    <t>Jigarthanda DoubleX 126 Total</t>
  </si>
  <si>
    <t>Jigarthanda DoubleX 176 Total</t>
  </si>
  <si>
    <t>Jigarthanda DoubleX 226 Total</t>
  </si>
  <si>
    <t>Jigarthanda DoubleX 276 Total</t>
  </si>
  <si>
    <t>Jigarthanda DoubleX 326 Total</t>
  </si>
  <si>
    <t>Jigarthanda DoubleX 376 Total</t>
  </si>
  <si>
    <t>Jigarthanda DoubleX 426 Total</t>
  </si>
  <si>
    <t>Jigarthanda DoubleX 476 Total</t>
  </si>
  <si>
    <t>Jigarthanda DoubleX 526 Total</t>
  </si>
  <si>
    <t>Jigarthanda DoubleX 576 Total</t>
  </si>
  <si>
    <t>Jigarthanda DoubleX 76 Total</t>
  </si>
  <si>
    <t>John Wick 4 Total</t>
  </si>
  <si>
    <t>John Wick 4 140 Total</t>
  </si>
  <si>
    <t>John Wick 4 190 Total</t>
  </si>
  <si>
    <t>John Wick 4 240 Total</t>
  </si>
  <si>
    <t>John Wick 4 290 Total</t>
  </si>
  <si>
    <t>John Wick 4 340 Total</t>
  </si>
  <si>
    <t>John Wick 4 390 Total</t>
  </si>
  <si>
    <t>John Wick 4 440 Total</t>
  </si>
  <si>
    <t>John Wick 4 490 Total</t>
  </si>
  <si>
    <t>John Wick 4 540 Total</t>
  </si>
  <si>
    <t>John Wick 4 590 Total</t>
  </si>
  <si>
    <t>John Wick 4 90 Total</t>
  </si>
  <si>
    <t>Kantara Total</t>
  </si>
  <si>
    <t>Kantara 156 Total</t>
  </si>
  <si>
    <t>Kantara 206 Total</t>
  </si>
  <si>
    <t>Kantara 256 Total</t>
  </si>
  <si>
    <t>Kantara 306 Total</t>
  </si>
  <si>
    <t>Kantara 356 Total</t>
  </si>
  <si>
    <t>Kantara 406 Total</t>
  </si>
  <si>
    <t>Kantara 456 Total</t>
  </si>
  <si>
    <t>Kantara 506 Total</t>
  </si>
  <si>
    <t>Kantara 556 Total</t>
  </si>
  <si>
    <t>Kantara 56 Total</t>
  </si>
  <si>
    <t>KGF Chapter 2 Total</t>
  </si>
  <si>
    <t>KGF Chapter 2 124 Total</t>
  </si>
  <si>
    <t>KGF Chapter 2 174 Total</t>
  </si>
  <si>
    <t>KGF Chapter 2 224 Total</t>
  </si>
  <si>
    <t>KGF Chapter 2 274 Total</t>
  </si>
  <si>
    <t>KGF Chapter 2 324 Total</t>
  </si>
  <si>
    <t>KGF Chapter 2 374 Total</t>
  </si>
  <si>
    <t>KGF Chapter 2 474 Total</t>
  </si>
  <si>
    <t>KGF Chapter 2 524 Total</t>
  </si>
  <si>
    <t>KGF Chapter 2 574 Total</t>
  </si>
  <si>
    <t>KGF Chapter 2 74 Total</t>
  </si>
  <si>
    <t>Knives Out Total</t>
  </si>
  <si>
    <t>Knives Out 144 Total</t>
  </si>
  <si>
    <t>Knives Out 194 Total</t>
  </si>
  <si>
    <t>Knives Out 244 Total</t>
  </si>
  <si>
    <t>Knives Out 294 Total</t>
  </si>
  <si>
    <t>Knives Out 344 Total</t>
  </si>
  <si>
    <t>Knives Out 394 Total</t>
  </si>
  <si>
    <t>Knives Out 444 Total</t>
  </si>
  <si>
    <t>Knives Out 494 Total</t>
  </si>
  <si>
    <t>Knives Out 544 Total</t>
  </si>
  <si>
    <t>Knives Out 594 Total</t>
  </si>
  <si>
    <t>Knives Out 94 Total</t>
  </si>
  <si>
    <t>Kumbalangi Nights Total</t>
  </si>
  <si>
    <t>Kumbalangi Nights 115 Total</t>
  </si>
  <si>
    <t>Kumbalangi Nights 165 Total</t>
  </si>
  <si>
    <t>Kumbalangi Nights 215 Total</t>
  </si>
  <si>
    <t>Kumbalangi Nights 315 Total</t>
  </si>
  <si>
    <t>Kumbalangi Nights 365 Total</t>
  </si>
  <si>
    <t>Kumbalangi Nights 415 Total</t>
  </si>
  <si>
    <t>Kumbalangi Nights 465 Total</t>
  </si>
  <si>
    <t>Kumbalangi Nights 515 Total</t>
  </si>
  <si>
    <t>Kumbalangi Nights 565 Total</t>
  </si>
  <si>
    <t>Kumbalangi Nights 65 Total</t>
  </si>
  <si>
    <t>La La Land Total</t>
  </si>
  <si>
    <t>La La Land 149 Total</t>
  </si>
  <si>
    <t>La La Land 199 Total</t>
  </si>
  <si>
    <t>La La Land 249 Total</t>
  </si>
  <si>
    <t>La La Land 299 Total</t>
  </si>
  <si>
    <t>La La Land 349 Total</t>
  </si>
  <si>
    <t>La La Land 399 Total</t>
  </si>
  <si>
    <t>La La Land 449 Total</t>
  </si>
  <si>
    <t>La La Land 499 Total</t>
  </si>
  <si>
    <t>La La Land 549 Total</t>
  </si>
  <si>
    <t>La La Land 599 Total</t>
  </si>
  <si>
    <t>La La Land 99 Total</t>
  </si>
  <si>
    <t>Leo Total</t>
  </si>
  <si>
    <t>Leo 101 Total</t>
  </si>
  <si>
    <t>Leo 151 Total</t>
  </si>
  <si>
    <t>Leo 201 Total</t>
  </si>
  <si>
    <t>Leo 251 Total</t>
  </si>
  <si>
    <t>Leo 301 Total</t>
  </si>
  <si>
    <t>Leo 351 Total</t>
  </si>
  <si>
    <t>Leo 401 Total</t>
  </si>
  <si>
    <t>Leo 451 Total</t>
  </si>
  <si>
    <t>Leo 501 Total</t>
  </si>
  <si>
    <t>Leo 51 Total</t>
  </si>
  <si>
    <t>Leo 551 Total</t>
  </si>
  <si>
    <t>Manjummel Boys Total</t>
  </si>
  <si>
    <t>Manjummel Boys 109 Total</t>
  </si>
  <si>
    <t>Manjummel Boys 209 Total</t>
  </si>
  <si>
    <t>Manjummel Boys 259 Total</t>
  </si>
  <si>
    <t>Manjummel Boys 309 Total</t>
  </si>
  <si>
    <t>Manjummel Boys 359 Total</t>
  </si>
  <si>
    <t>Manjummel Boys 409 Total</t>
  </si>
  <si>
    <t>Manjummel Boys 459 Total</t>
  </si>
  <si>
    <t>Manjummel Boys 509 Total</t>
  </si>
  <si>
    <t>Manjummel Boys 559 Total</t>
  </si>
  <si>
    <t>Manjummel Boys 59 Total</t>
  </si>
  <si>
    <t>Oppenheimer Total</t>
  </si>
  <si>
    <t>Oppenheimer 111 Total</t>
  </si>
  <si>
    <t>Oppenheimer 161 Total</t>
  </si>
  <si>
    <t>Oppenheimer 211 Total</t>
  </si>
  <si>
    <t>Oppenheimer 261 Total</t>
  </si>
  <si>
    <t>Oppenheimer 311 Total</t>
  </si>
  <si>
    <t>Oppenheimer 361 Total</t>
  </si>
  <si>
    <t>Oppenheimer 411 Total</t>
  </si>
  <si>
    <t>Oppenheimer 511 Total</t>
  </si>
  <si>
    <t>Oppenheimer 561 Total</t>
  </si>
  <si>
    <t>Oppenheimer 61 Total</t>
  </si>
  <si>
    <t>Parasite Total</t>
  </si>
  <si>
    <t>Parasite 119 Total</t>
  </si>
  <si>
    <t>Parasite 169 Total</t>
  </si>
  <si>
    <t>Parasite 219 Total</t>
  </si>
  <si>
    <t>Parasite 269 Total</t>
  </si>
  <si>
    <t>Parasite 319 Total</t>
  </si>
  <si>
    <t>Parasite 369 Total</t>
  </si>
  <si>
    <t>Parasite 419 Total</t>
  </si>
  <si>
    <t>Parasite 469 Total</t>
  </si>
  <si>
    <t>Parasite 519 Total</t>
  </si>
  <si>
    <t>Parasite 569 Total</t>
  </si>
  <si>
    <t>Parasite 69 Total</t>
  </si>
  <si>
    <t>Pathaan Total</t>
  </si>
  <si>
    <t>Pathaan 113 Total</t>
  </si>
  <si>
    <t>Pathaan 163 Total</t>
  </si>
  <si>
    <t>Pathaan 213 Total</t>
  </si>
  <si>
    <t>Pathaan 263 Total</t>
  </si>
  <si>
    <t>Pathaan 313 Total</t>
  </si>
  <si>
    <t>Pathaan 363 Total</t>
  </si>
  <si>
    <t>Pathaan 413 Total</t>
  </si>
  <si>
    <t>Pathaan 463 Total</t>
  </si>
  <si>
    <t>Pathaan 513 Total</t>
  </si>
  <si>
    <t>Pathaan 563 Total</t>
  </si>
  <si>
    <t>Pathaan 63 Total</t>
  </si>
  <si>
    <t>Premalu Total</t>
  </si>
  <si>
    <t>Premalu 103 Total</t>
  </si>
  <si>
    <t>Premalu 153 Total</t>
  </si>
  <si>
    <t>Premalu 203 Total</t>
  </si>
  <si>
    <t>Premalu 253 Total</t>
  </si>
  <si>
    <t>Premalu 303 Total</t>
  </si>
  <si>
    <t>Premalu 353 Total</t>
  </si>
  <si>
    <t>Premalu 403 Total</t>
  </si>
  <si>
    <t>Premalu 453 Total</t>
  </si>
  <si>
    <t>Premalu 503 Total</t>
  </si>
  <si>
    <t>Premalu 553 Total</t>
  </si>
  <si>
    <t>Premam Total</t>
  </si>
  <si>
    <t>Premam 116 Total</t>
  </si>
  <si>
    <t>Premam 166 Total</t>
  </si>
  <si>
    <t>Premam 216 Total</t>
  </si>
  <si>
    <t>Premam 266 Total</t>
  </si>
  <si>
    <t>Premam 316 Total</t>
  </si>
  <si>
    <t>Premam 366 Total</t>
  </si>
  <si>
    <t>Premam 416 Total</t>
  </si>
  <si>
    <t>Premam 466 Total</t>
  </si>
  <si>
    <t>Premam 516 Total</t>
  </si>
  <si>
    <t>Premam 566 Total</t>
  </si>
  <si>
    <t>Premam 66 Total</t>
  </si>
  <si>
    <t>RRR Total</t>
  </si>
  <si>
    <t>RRR 107 Total</t>
  </si>
  <si>
    <t>RRR 157 Total</t>
  </si>
  <si>
    <t>RRR 207 Total</t>
  </si>
  <si>
    <t>RRR 257 Total</t>
  </si>
  <si>
    <t>RRR 307 Total</t>
  </si>
  <si>
    <t>RRR 357 Total</t>
  </si>
  <si>
    <t>RRR 407 Total</t>
  </si>
  <si>
    <t>RRR 457 Total</t>
  </si>
  <si>
    <t>RRR 507 Total</t>
  </si>
  <si>
    <t>RRR 557 Total</t>
  </si>
  <si>
    <t>RRR 57 Total</t>
  </si>
  <si>
    <t>Shutter Island Total</t>
  </si>
  <si>
    <t>Shutter Island 148 Total</t>
  </si>
  <si>
    <t>Shutter Island 198 Total</t>
  </si>
  <si>
    <t>Shutter Island 248 Total</t>
  </si>
  <si>
    <t>Shutter Island 298 Total</t>
  </si>
  <si>
    <t>Shutter Island 348 Total</t>
  </si>
  <si>
    <t>Shutter Island 398 Total</t>
  </si>
  <si>
    <t>Shutter Island 448 Total</t>
  </si>
  <si>
    <t>Shutter Island 498 Total</t>
  </si>
  <si>
    <t>Shutter Island 548 Total</t>
  </si>
  <si>
    <t>Shutter Island 598 Total</t>
  </si>
  <si>
    <t>Shutter Island 98 Total</t>
  </si>
  <si>
    <t>Sita Ramam Total</t>
  </si>
  <si>
    <t>Sita Ramam 125 Total</t>
  </si>
  <si>
    <t>Sita Ramam 175 Total</t>
  </si>
  <si>
    <t>Sita Ramam 225 Total</t>
  </si>
  <si>
    <t>Sita Ramam 275 Total</t>
  </si>
  <si>
    <t>Sita Ramam 325 Total</t>
  </si>
  <si>
    <t>Sita Ramam 375 Total</t>
  </si>
  <si>
    <t>Sita Ramam 425 Total</t>
  </si>
  <si>
    <t>Sita Ramam 475 Total</t>
  </si>
  <si>
    <t>Sita Ramam 525 Total</t>
  </si>
  <si>
    <t>Sita Ramam 575 Total</t>
  </si>
  <si>
    <t>Sita Ramam 75 Total</t>
  </si>
  <si>
    <t>Spider-Man: No Way Home Total</t>
  </si>
  <si>
    <t>Spider-Man: No Way Home 133 Total</t>
  </si>
  <si>
    <t>Spider-Man: No Way Home 183 Total</t>
  </si>
  <si>
    <t>Spider-Man: No Way Home 233 Total</t>
  </si>
  <si>
    <t>Spider-Man: No Way Home 283 Total</t>
  </si>
  <si>
    <t>Spider-Man: No Way Home 333 Total</t>
  </si>
  <si>
    <t>Spider-Man: No Way Home 383 Total</t>
  </si>
  <si>
    <t>Spider-Man: No Way Home 433 Total</t>
  </si>
  <si>
    <t>Spider-Man: No Way Home 483 Total</t>
  </si>
  <si>
    <t>Spider-Man: No Way Home 533 Total</t>
  </si>
  <si>
    <t>Spider-Man: No Way Home 83 Total</t>
  </si>
  <si>
    <t>The Batman Total</t>
  </si>
  <si>
    <t>The Batman 110 Total</t>
  </si>
  <si>
    <t>The Batman 160 Total</t>
  </si>
  <si>
    <t>The Batman 210 Total</t>
  </si>
  <si>
    <t>The Batman 260 Total</t>
  </si>
  <si>
    <t>The Batman 310 Total</t>
  </si>
  <si>
    <t>The Batman 360 Total</t>
  </si>
  <si>
    <t>The Batman 410 Total</t>
  </si>
  <si>
    <t>The Batman 460 Total</t>
  </si>
  <si>
    <t>The Batman 510 Total</t>
  </si>
  <si>
    <t>The Batman 560 Total</t>
  </si>
  <si>
    <t>The Batman 60 Total</t>
  </si>
  <si>
    <t>The Conjuring Total</t>
  </si>
  <si>
    <t>The Conjuring 141 Total</t>
  </si>
  <si>
    <t>The Conjuring 191 Total</t>
  </si>
  <si>
    <t>The Conjuring 241 Total</t>
  </si>
  <si>
    <t>The Conjuring 291 Total</t>
  </si>
  <si>
    <t>The Conjuring 341 Total</t>
  </si>
  <si>
    <t>The Conjuring 391 Total</t>
  </si>
  <si>
    <t>The Conjuring 441 Total</t>
  </si>
  <si>
    <t>The Conjuring 491 Total</t>
  </si>
  <si>
    <t>The Conjuring 541 Total</t>
  </si>
  <si>
    <t>The Conjuring 591 Total</t>
  </si>
  <si>
    <t>The Conjuring 91 Total</t>
  </si>
  <si>
    <t>The Dark Knight Total</t>
  </si>
  <si>
    <t>The Dark Knight 129 Total</t>
  </si>
  <si>
    <t>The Dark Knight 179 Total</t>
  </si>
  <si>
    <t>The Dark Knight 229 Total</t>
  </si>
  <si>
    <t>The Dark Knight 279 Total</t>
  </si>
  <si>
    <t>The Dark Knight 329 Total</t>
  </si>
  <si>
    <t>The Dark Knight 379 Total</t>
  </si>
  <si>
    <t>The Dark Knight 429 Total</t>
  </si>
  <si>
    <t>The Dark Knight 479 Total</t>
  </si>
  <si>
    <t>The Dark Knight 529 Total</t>
  </si>
  <si>
    <t>The Dark Knight 579 Total</t>
  </si>
  <si>
    <t>The Dark Knight 79 Total</t>
  </si>
  <si>
    <t>The Menu Total</t>
  </si>
  <si>
    <t>The Menu 146 Total</t>
  </si>
  <si>
    <t>The Menu 196 Total</t>
  </si>
  <si>
    <t>The Menu 246 Total</t>
  </si>
  <si>
    <t>The Menu 296 Total</t>
  </si>
  <si>
    <t>The Menu 346 Total</t>
  </si>
  <si>
    <t>The Menu 396 Total</t>
  </si>
  <si>
    <t>The Menu 446 Total</t>
  </si>
  <si>
    <t>The Menu 496 Total</t>
  </si>
  <si>
    <t>The Menu 546 Total</t>
  </si>
  <si>
    <t>The Menu 596 Total</t>
  </si>
  <si>
    <t>The Menu 96 Total</t>
  </si>
  <si>
    <t>The Notebook Total</t>
  </si>
  <si>
    <t>The Notebook 100 Total</t>
  </si>
  <si>
    <t>The Notebook 150 Total</t>
  </si>
  <si>
    <t>The Notebook 200 Total</t>
  </si>
  <si>
    <t>The Notebook 250 Total</t>
  </si>
  <si>
    <t>The Notebook 300 Total</t>
  </si>
  <si>
    <t>The Notebook 350 Total</t>
  </si>
  <si>
    <t>The Notebook 400 Total</t>
  </si>
  <si>
    <t>The Notebook 450 Total</t>
  </si>
  <si>
    <t>The Notebook 500 Total</t>
  </si>
  <si>
    <t>The Notebook 550 Total</t>
  </si>
  <si>
    <t>The Notebook 600 Total</t>
  </si>
  <si>
    <t>The Shawshank Redemption Total</t>
  </si>
  <si>
    <t>The Shawshank Redemption 131 Total</t>
  </si>
  <si>
    <t>The Shawshank Redemption 181 Total</t>
  </si>
  <si>
    <t>The Shawshank Redemption 231 Total</t>
  </si>
  <si>
    <t>The Shawshank Redemption 281 Total</t>
  </si>
  <si>
    <t>The Shawshank Redemption 331 Total</t>
  </si>
  <si>
    <t>The Shawshank Redemption 381 Total</t>
  </si>
  <si>
    <t>The Shawshank Redemption 431 Total</t>
  </si>
  <si>
    <t>The Shawshank Redemption 481 Total</t>
  </si>
  <si>
    <t>The Shawshank Redemption 531 Total</t>
  </si>
  <si>
    <t>The Shawshank Redemption 581 Total</t>
  </si>
  <si>
    <t>The Shawshank Redemption 81 Total</t>
  </si>
  <si>
    <t>Top Gun: Maverick Total</t>
  </si>
  <si>
    <t>Top Gun: Maverick 139 Total</t>
  </si>
  <si>
    <t>Top Gun: Maverick 189 Total</t>
  </si>
  <si>
    <t>Top Gun: Maverick 239 Total</t>
  </si>
  <si>
    <t>Top Gun: Maverick 289 Total</t>
  </si>
  <si>
    <t>Top Gun: Maverick 339 Total</t>
  </si>
  <si>
    <t>Top Gun: Maverick 389 Total</t>
  </si>
  <si>
    <t>Top Gun: Maverick 439 Total</t>
  </si>
  <si>
    <t>Top Gun: Maverick 489 Total</t>
  </si>
  <si>
    <t>Top Gun: Maverick 539 Total</t>
  </si>
  <si>
    <t>Top Gun: Maverick 589 Total</t>
  </si>
  <si>
    <t>Top Gun: Maverick 89 Total</t>
  </si>
  <si>
    <t>Toy Story 4 Total</t>
  </si>
  <si>
    <t>Toy Story 4 134 Total</t>
  </si>
  <si>
    <t>Toy Story 4 184 Total</t>
  </si>
  <si>
    <t>Toy Story 4 234 Total</t>
  </si>
  <si>
    <t>Toy Story 4 284 Total</t>
  </si>
  <si>
    <t>Toy Story 4 334 Total</t>
  </si>
  <si>
    <t>Toy Story 4 384 Total</t>
  </si>
  <si>
    <t>Toy Story 4 434 Total</t>
  </si>
  <si>
    <t>Toy Story 4 484 Total</t>
  </si>
  <si>
    <t>Toy Story 4 534 Total</t>
  </si>
  <si>
    <t>Toy Story 4 584 Total</t>
  </si>
  <si>
    <t>Toy Story 4 84 Total</t>
  </si>
  <si>
    <t>Train to Busan Total</t>
  </si>
  <si>
    <t>Train to Busan 120 Total</t>
  </si>
  <si>
    <t>Train to Busan 170 Total</t>
  </si>
  <si>
    <t>Train to Busan 220 Total</t>
  </si>
  <si>
    <t>Train to Busan 270 Total</t>
  </si>
  <si>
    <t>Train to Busan 320 Total</t>
  </si>
  <si>
    <t>Train to Busan 370 Total</t>
  </si>
  <si>
    <t>Train to Busan 420 Total</t>
  </si>
  <si>
    <t>Train to Busan 470 Total</t>
  </si>
  <si>
    <t>Train to Busan 520 Total</t>
  </si>
  <si>
    <t>Train to Busan 570 Total</t>
  </si>
  <si>
    <t>Train to Busan 70 Total</t>
  </si>
  <si>
    <t>Ustad Hotel Total</t>
  </si>
  <si>
    <t>Ustad Hotel 128 Total</t>
  </si>
  <si>
    <t>Ustad Hotel 178 Total</t>
  </si>
  <si>
    <t>Ustad Hotel 228 Total</t>
  </si>
  <si>
    <t>Ustad Hotel 278 Total</t>
  </si>
  <si>
    <t>Ustad Hotel 328 Total</t>
  </si>
  <si>
    <t>Ustad Hotel 378 Total</t>
  </si>
  <si>
    <t>Ustad Hotel 428 Total</t>
  </si>
  <si>
    <t>Ustad Hotel 478 Total</t>
  </si>
  <si>
    <t>Ustad Hotel 528 Total</t>
  </si>
  <si>
    <t>Ustad Hotel 578 Total</t>
  </si>
  <si>
    <t>Ustad Hotel 78 Total</t>
  </si>
  <si>
    <t>Vikram Total</t>
  </si>
  <si>
    <t>Vikram 114 Total</t>
  </si>
  <si>
    <t>Vikram 164 Total</t>
  </si>
  <si>
    <t>Vikram 214 Total</t>
  </si>
  <si>
    <t>Vikram 264 Total</t>
  </si>
  <si>
    <t>Vikram 314 Total</t>
  </si>
  <si>
    <t>Vikram 364 Total</t>
  </si>
  <si>
    <t>Vikram 414 Total</t>
  </si>
  <si>
    <t>Vikram 464 Total</t>
  </si>
  <si>
    <t>Vikram 514 Total</t>
  </si>
  <si>
    <t>Vikram 564 Total</t>
  </si>
  <si>
    <t>Vikram 64 Total</t>
  </si>
  <si>
    <t>Zootopia Total</t>
  </si>
  <si>
    <t>Zootopia 137 Total</t>
  </si>
  <si>
    <t>Zootopia 187 Total</t>
  </si>
  <si>
    <t>Zootopia 237 Total</t>
  </si>
  <si>
    <t>Zootopia 287 Total</t>
  </si>
  <si>
    <t>Zootopia 337 Total</t>
  </si>
  <si>
    <t>Zootopia 387 Total</t>
  </si>
  <si>
    <t>Zootopia 437 Total</t>
  </si>
  <si>
    <t>Zootopia 487 Total</t>
  </si>
  <si>
    <t>Zootopia 537 Total</t>
  </si>
  <si>
    <t>Zootopia 587 Total</t>
  </si>
  <si>
    <t>Zootopia 87 Total</t>
  </si>
  <si>
    <t>Sum of Revenue (Million USD)</t>
  </si>
  <si>
    <t>PG-13 Total</t>
  </si>
  <si>
    <t>U/A Total</t>
  </si>
  <si>
    <t>U Total</t>
  </si>
  <si>
    <t>18 Total</t>
  </si>
  <si>
    <t>R Total</t>
  </si>
  <si>
    <t>15 Total</t>
  </si>
  <si>
    <t>PG Total</t>
  </si>
  <si>
    <t>MOVIE &amp;OTT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</si>
</sst>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scheme val="minor"/>
    </font>
    <font>
      <b/>
      <sz val="11"/>
      <name val="Calibri"/>
      <family val="2"/>
    </font>
    <font>
      <sz val="11"/>
      <color theme="0" tint="-4.9989318521683403E-2"/>
      <name val="Calibri"/>
      <family val="2"/>
      <scheme val="minor"/>
    </font>
    <font>
      <b/>
      <i/>
      <sz val="22"/>
      <color theme="0"/>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rgb="FFFF5050"/>
        <bgColor indexed="64"/>
      </patternFill>
    </fill>
    <fill>
      <patternFill patternType="solid">
        <fgColor theme="1" tint="4.9989318521683403E-2"/>
        <bgColor indexed="64"/>
      </patternFill>
    </fill>
    <fill>
      <patternFill patternType="solid">
        <fgColor theme="5" tint="-0.499984740745262"/>
        <bgColor indexed="64"/>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14" fontId="0" fillId="0" borderId="0" xfId="0" applyNumberFormat="1"/>
    <xf numFmtId="0" fontId="2" fillId="0" borderId="0" xfId="0" applyFont="1"/>
    <xf numFmtId="0" fontId="0" fillId="0" borderId="0" xfId="0" pivotButton="1"/>
    <xf numFmtId="0" fontId="0" fillId="0" borderId="0" xfId="0" applyNumberFormat="1"/>
    <xf numFmtId="0" fontId="0" fillId="4" borderId="3" xfId="0" applyFont="1" applyFill="1" applyBorder="1"/>
    <xf numFmtId="0" fontId="0" fillId="2" borderId="3" xfId="0" applyFont="1" applyFill="1" applyBorder="1"/>
    <xf numFmtId="0" fontId="0" fillId="5" borderId="0" xfId="0" applyFill="1"/>
    <xf numFmtId="0" fontId="0" fillId="6" borderId="0" xfId="0" applyFill="1"/>
    <xf numFmtId="0" fontId="4" fillId="6" borderId="0" xfId="0" applyFont="1" applyFill="1" applyAlignment="1"/>
    <xf numFmtId="0" fontId="0" fillId="2" borderId="4" xfId="0" applyFont="1" applyFill="1" applyBorder="1"/>
    <xf numFmtId="0" fontId="3" fillId="3" borderId="2" xfId="0" applyFont="1" applyFill="1" applyBorder="1" applyAlignment="1">
      <alignment horizontal="center" vertical="top"/>
    </xf>
    <xf numFmtId="0" fontId="0" fillId="7" borderId="0" xfId="0" applyFill="1"/>
    <xf numFmtId="0" fontId="0" fillId="7" borderId="0" xfId="0" applyFill="1" applyAlignment="1">
      <alignment horizontal="center"/>
    </xf>
    <xf numFmtId="0" fontId="5" fillId="7" borderId="0" xfId="0" applyFont="1" applyFill="1" applyAlignment="1">
      <alignment horizontal="center"/>
    </xf>
    <xf numFmtId="0" fontId="4" fillId="7" borderId="0" xfId="0" applyFont="1" applyFill="1" applyAlignmen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11/relationships/timelineCache" Target="timelineCaches/timelineCache1.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[Movie_OTT_Analysis_Raw_Data.xlsx]Sheet2!PivotTable1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Sheet2!$B$3:$B$4</c:f>
              <c:strCache>
                <c:ptCount val="1"/>
                <c:pt idx="0">
                  <c:v>Total</c:v>
                </c:pt>
              </c:strCache>
            </c:strRef>
          </c:tx>
          <c:spPr>
            <a:solidFill>
              <a:schemeClr val="accent1"/>
            </a:solidFill>
            <a:ln>
              <a:noFill/>
            </a:ln>
            <a:effectLst/>
          </c:spPr>
          <c:invertIfNegative val="0"/>
          <c:cat>
            <c:strRef>
              <c:f>Sheet2!$A$5:$A$15</c:f>
              <c:strCache>
                <c:ptCount val="10"/>
                <c:pt idx="0">
                  <c:v>SonyLIV</c:v>
                </c:pt>
                <c:pt idx="1">
                  <c:v>Peacock</c:v>
                </c:pt>
                <c:pt idx="2">
                  <c:v>Paramount+</c:v>
                </c:pt>
                <c:pt idx="3">
                  <c:v>Netflix</c:v>
                </c:pt>
                <c:pt idx="4">
                  <c:v>Lionsgate+</c:v>
                </c:pt>
                <c:pt idx="5">
                  <c:v>Hulu</c:v>
                </c:pt>
                <c:pt idx="6">
                  <c:v>HBO Max</c:v>
                </c:pt>
                <c:pt idx="7">
                  <c:v>Disney+</c:v>
                </c:pt>
                <c:pt idx="8">
                  <c:v>Apple TV+</c:v>
                </c:pt>
                <c:pt idx="9">
                  <c:v>Amazon Prime</c:v>
                </c:pt>
              </c:strCache>
            </c:strRef>
          </c:cat>
          <c:val>
            <c:numRef>
              <c:f>Sheet2!$B$5:$B$15</c:f>
              <c:numCache>
                <c:formatCode>General</c:formatCode>
                <c:ptCount val="10"/>
                <c:pt idx="0">
                  <c:v>12</c:v>
                </c:pt>
                <c:pt idx="1">
                  <c:v>22</c:v>
                </c:pt>
                <c:pt idx="2">
                  <c:v>35</c:v>
                </c:pt>
                <c:pt idx="3">
                  <c:v>172</c:v>
                </c:pt>
                <c:pt idx="4">
                  <c:v>23</c:v>
                </c:pt>
                <c:pt idx="5">
                  <c:v>24</c:v>
                </c:pt>
                <c:pt idx="6">
                  <c:v>86</c:v>
                </c:pt>
                <c:pt idx="7">
                  <c:v>114</c:v>
                </c:pt>
                <c:pt idx="8">
                  <c:v>20</c:v>
                </c:pt>
                <c:pt idx="9">
                  <c:v>81</c:v>
                </c:pt>
              </c:numCache>
            </c:numRef>
          </c:val>
          <c:extLst>
            <c:ext xmlns:c16="http://schemas.microsoft.com/office/drawing/2014/chart" uri="{C3380CC4-5D6E-409C-BE32-E72D297353CC}">
              <c16:uniqueId val="{00000000-67A3-4F49-B646-08CB1CFEDA9D}"/>
            </c:ext>
          </c:extLst>
        </c:ser>
        <c:dLbls>
          <c:showLegendKey val="0"/>
          <c:showVal val="0"/>
          <c:showCatName val="0"/>
          <c:showSerName val="0"/>
          <c:showPercent val="0"/>
          <c:showBubbleSize val="0"/>
        </c:dLbls>
        <c:gapWidth val="182"/>
        <c:axId val="266322255"/>
        <c:axId val="56168143"/>
      </c:barChart>
      <c:catAx>
        <c:axId val="26632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8143"/>
        <c:crosses val="autoZero"/>
        <c:auto val="1"/>
        <c:lblAlgn val="ctr"/>
        <c:lblOffset val="100"/>
        <c:noMultiLvlLbl val="0"/>
      </c:catAx>
      <c:valAx>
        <c:axId val="56168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2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[Movie_OTT_Analysis_Raw_Data.xlsx]Sheet2!PivotTable6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2537182852143"/>
          <c:y val="0.16606262758821813"/>
          <c:w val="0.6965853018372703"/>
          <c:h val="0.37815398075240597"/>
        </c:manualLayout>
      </c:layout>
      <c:lineChart>
        <c:grouping val="standard"/>
        <c:varyColors val="0"/>
        <c:ser>
          <c:idx val="0"/>
          <c:order val="0"/>
          <c:tx>
            <c:strRef>
              <c:f>Sheet2!$E$28:$E$29</c:f>
              <c:strCache>
                <c:ptCount val="1"/>
                <c:pt idx="0">
                  <c:v>Total</c:v>
                </c:pt>
              </c:strCache>
            </c:strRef>
          </c:tx>
          <c:spPr>
            <a:ln w="28575" cap="rnd">
              <a:solidFill>
                <a:schemeClr val="accent1"/>
              </a:solidFill>
              <a:round/>
            </a:ln>
            <a:effectLst/>
          </c:spPr>
          <c:marker>
            <c:symbol val="none"/>
          </c:marker>
          <c:cat>
            <c:strRef>
              <c:f>Sheet2!$D$30:$D$40</c:f>
              <c:strCache>
                <c:ptCount val="10"/>
                <c:pt idx="0">
                  <c:v>SonyLIV</c:v>
                </c:pt>
                <c:pt idx="1">
                  <c:v>Peacock</c:v>
                </c:pt>
                <c:pt idx="2">
                  <c:v>Paramount+</c:v>
                </c:pt>
                <c:pt idx="3">
                  <c:v>Netflix</c:v>
                </c:pt>
                <c:pt idx="4">
                  <c:v>Lionsgate+</c:v>
                </c:pt>
                <c:pt idx="5">
                  <c:v>Hulu</c:v>
                </c:pt>
                <c:pt idx="6">
                  <c:v>HBO Max</c:v>
                </c:pt>
                <c:pt idx="7">
                  <c:v>Disney+</c:v>
                </c:pt>
                <c:pt idx="8">
                  <c:v>Apple TV+</c:v>
                </c:pt>
                <c:pt idx="9">
                  <c:v>Amazon Prime</c:v>
                </c:pt>
              </c:strCache>
            </c:strRef>
          </c:cat>
          <c:val>
            <c:numRef>
              <c:f>Sheet2!$E$30:$E$40</c:f>
              <c:numCache>
                <c:formatCode>General</c:formatCode>
                <c:ptCount val="10"/>
                <c:pt idx="0">
                  <c:v>7215.4900000000016</c:v>
                </c:pt>
                <c:pt idx="1">
                  <c:v>9609.6</c:v>
                </c:pt>
                <c:pt idx="2">
                  <c:v>17727.379999999997</c:v>
                </c:pt>
                <c:pt idx="3">
                  <c:v>96215.48</c:v>
                </c:pt>
                <c:pt idx="4">
                  <c:v>14993.86</c:v>
                </c:pt>
                <c:pt idx="5">
                  <c:v>10146.469999999999</c:v>
                </c:pt>
                <c:pt idx="6">
                  <c:v>42253.139999999963</c:v>
                </c:pt>
                <c:pt idx="7">
                  <c:v>60851.649999999972</c:v>
                </c:pt>
                <c:pt idx="8">
                  <c:v>12649.04</c:v>
                </c:pt>
                <c:pt idx="9">
                  <c:v>37153.349999999984</c:v>
                </c:pt>
              </c:numCache>
            </c:numRef>
          </c:val>
          <c:smooth val="0"/>
          <c:extLst>
            <c:ext xmlns:c16="http://schemas.microsoft.com/office/drawing/2014/chart" uri="{C3380CC4-5D6E-409C-BE32-E72D297353CC}">
              <c16:uniqueId val="{00000000-CBC6-4EC5-89D9-BEFA4F1CDD5E}"/>
            </c:ext>
          </c:extLst>
        </c:ser>
        <c:dLbls>
          <c:showLegendKey val="0"/>
          <c:showVal val="0"/>
          <c:showCatName val="0"/>
          <c:showSerName val="0"/>
          <c:showPercent val="0"/>
          <c:showBubbleSize val="0"/>
        </c:dLbls>
        <c:smooth val="0"/>
        <c:axId val="360846495"/>
        <c:axId val="352970767"/>
      </c:lineChart>
      <c:catAx>
        <c:axId val="36084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70767"/>
        <c:crosses val="autoZero"/>
        <c:auto val="1"/>
        <c:lblAlgn val="ctr"/>
        <c:lblOffset val="100"/>
        <c:noMultiLvlLbl val="0"/>
      </c:catAx>
      <c:valAx>
        <c:axId val="35297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4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[Movie_OTT_Analysis_Raw_Data.xlsx]Sheet2!PivotTable3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Sheet2!$E$3:$E$4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Sheet2!$D$5:$D$15</c:f>
              <c:strCache>
                <c:ptCount val="10"/>
                <c:pt idx="0">
                  <c:v>Amazon Prime</c:v>
                </c:pt>
                <c:pt idx="1">
                  <c:v>Apple TV+</c:v>
                </c:pt>
                <c:pt idx="2">
                  <c:v>Disney+</c:v>
                </c:pt>
                <c:pt idx="3">
                  <c:v>HBO Max</c:v>
                </c:pt>
                <c:pt idx="4">
                  <c:v>Hulu</c:v>
                </c:pt>
                <c:pt idx="5">
                  <c:v>Lionsgate+</c:v>
                </c:pt>
                <c:pt idx="6">
                  <c:v>Netflix</c:v>
                </c:pt>
                <c:pt idx="7">
                  <c:v>Paramount+</c:v>
                </c:pt>
                <c:pt idx="8">
                  <c:v>Peacock</c:v>
                </c:pt>
                <c:pt idx="9">
                  <c:v>SonyLIV</c:v>
                </c:pt>
              </c:strCache>
            </c:strRef>
          </c:cat>
          <c:val>
            <c:numRef>
              <c:f>Sheet2!$E$5:$E$15</c:f>
              <c:numCache>
                <c:formatCode>General</c:formatCode>
                <c:ptCount val="10"/>
                <c:pt idx="0">
                  <c:v>37153.349999999984</c:v>
                </c:pt>
                <c:pt idx="1">
                  <c:v>12649.04</c:v>
                </c:pt>
                <c:pt idx="2">
                  <c:v>60851.649999999972</c:v>
                </c:pt>
                <c:pt idx="3">
                  <c:v>42253.139999999963</c:v>
                </c:pt>
                <c:pt idx="4">
                  <c:v>10146.469999999999</c:v>
                </c:pt>
                <c:pt idx="5">
                  <c:v>14993.86</c:v>
                </c:pt>
                <c:pt idx="6">
                  <c:v>96215.48</c:v>
                </c:pt>
                <c:pt idx="7">
                  <c:v>17727.379999999997</c:v>
                </c:pt>
                <c:pt idx="8">
                  <c:v>9609.6</c:v>
                </c:pt>
                <c:pt idx="9">
                  <c:v>7215.4900000000016</c:v>
                </c:pt>
              </c:numCache>
            </c:numRef>
          </c:val>
          <c:extLst>
            <c:ext xmlns:c16="http://schemas.microsoft.com/office/drawing/2014/chart" uri="{C3380CC4-5D6E-409C-BE32-E72D297353CC}">
              <c16:uniqueId val="{00000000-2082-438C-B76B-6C14E0B303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[Movie_OTT_Analysis_Raw_Data.xlsx]Sheet2!PivotTable1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MOVIES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15982109439149"/>
          <c:y val="0.20501948986753282"/>
          <c:w val="0.70735877198503583"/>
          <c:h val="0.61673178826026809"/>
        </c:manualLayout>
      </c:layout>
      <c:barChart>
        <c:barDir val="bar"/>
        <c:grouping val="clustered"/>
        <c:varyColors val="0"/>
        <c:ser>
          <c:idx val="0"/>
          <c:order val="0"/>
          <c:tx>
            <c:strRef>
              <c:f>Sheet2!$B$3:$B$4</c:f>
              <c:strCache>
                <c:ptCount val="1"/>
                <c:pt idx="0">
                  <c:v>Total</c:v>
                </c:pt>
              </c:strCache>
            </c:strRef>
          </c:tx>
          <c:spPr>
            <a:solidFill>
              <a:schemeClr val="accent1"/>
            </a:solidFill>
            <a:ln>
              <a:noFill/>
            </a:ln>
            <a:effectLst/>
          </c:spPr>
          <c:invertIfNegative val="0"/>
          <c:cat>
            <c:strRef>
              <c:f>Sheet2!$A$5:$A$15</c:f>
              <c:strCache>
                <c:ptCount val="10"/>
                <c:pt idx="0">
                  <c:v>SonyLIV</c:v>
                </c:pt>
                <c:pt idx="1">
                  <c:v>Peacock</c:v>
                </c:pt>
                <c:pt idx="2">
                  <c:v>Paramount+</c:v>
                </c:pt>
                <c:pt idx="3">
                  <c:v>Netflix</c:v>
                </c:pt>
                <c:pt idx="4">
                  <c:v>Lionsgate+</c:v>
                </c:pt>
                <c:pt idx="5">
                  <c:v>Hulu</c:v>
                </c:pt>
                <c:pt idx="6">
                  <c:v>HBO Max</c:v>
                </c:pt>
                <c:pt idx="7">
                  <c:v>Disney+</c:v>
                </c:pt>
                <c:pt idx="8">
                  <c:v>Apple TV+</c:v>
                </c:pt>
                <c:pt idx="9">
                  <c:v>Amazon Prime</c:v>
                </c:pt>
              </c:strCache>
            </c:strRef>
          </c:cat>
          <c:val>
            <c:numRef>
              <c:f>Sheet2!$B$5:$B$15</c:f>
              <c:numCache>
                <c:formatCode>General</c:formatCode>
                <c:ptCount val="10"/>
                <c:pt idx="0">
                  <c:v>12</c:v>
                </c:pt>
                <c:pt idx="1">
                  <c:v>22</c:v>
                </c:pt>
                <c:pt idx="2">
                  <c:v>35</c:v>
                </c:pt>
                <c:pt idx="3">
                  <c:v>172</c:v>
                </c:pt>
                <c:pt idx="4">
                  <c:v>23</c:v>
                </c:pt>
                <c:pt idx="5">
                  <c:v>24</c:v>
                </c:pt>
                <c:pt idx="6">
                  <c:v>86</c:v>
                </c:pt>
                <c:pt idx="7">
                  <c:v>114</c:v>
                </c:pt>
                <c:pt idx="8">
                  <c:v>20</c:v>
                </c:pt>
                <c:pt idx="9">
                  <c:v>81</c:v>
                </c:pt>
              </c:numCache>
            </c:numRef>
          </c:val>
          <c:extLst>
            <c:ext xmlns:c16="http://schemas.microsoft.com/office/drawing/2014/chart" uri="{C3380CC4-5D6E-409C-BE32-E72D297353CC}">
              <c16:uniqueId val="{00000000-2A10-4709-A696-2ADE7D0286C1}"/>
            </c:ext>
          </c:extLst>
        </c:ser>
        <c:dLbls>
          <c:showLegendKey val="0"/>
          <c:showVal val="0"/>
          <c:showCatName val="0"/>
          <c:showSerName val="0"/>
          <c:showPercent val="0"/>
          <c:showBubbleSize val="0"/>
        </c:dLbls>
        <c:gapWidth val="182"/>
        <c:axId val="266322255"/>
        <c:axId val="56168143"/>
      </c:barChart>
      <c:catAx>
        <c:axId val="266322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2">
                        <a:lumMod val="75000"/>
                      </a:schemeClr>
                    </a:solidFill>
                    <a:latin typeface="+mn-lt"/>
                    <a:ea typeface="+mn-ea"/>
                    <a:cs typeface="+mn-cs"/>
                  </a:defRPr>
                </a:pPr>
                <a:r>
                  <a:rPr lang="en-IN">
                    <a:solidFill>
                      <a:schemeClr val="accent2">
                        <a:lumMod val="75000"/>
                      </a:schemeClr>
                    </a:solidFill>
                  </a:rPr>
                  <a:t>platforms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7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8143"/>
        <c:crosses val="autoZero"/>
        <c:auto val="1"/>
        <c:lblAlgn val="ctr"/>
        <c:lblOffset val="100"/>
        <c:noMultiLvlLbl val="0"/>
      </c:catAx>
      <c:valAx>
        <c:axId val="56168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lumMod val="75000"/>
                      </a:schemeClr>
                    </a:solidFill>
                    <a:latin typeface="+mn-lt"/>
                    <a:ea typeface="+mn-ea"/>
                    <a:cs typeface="+mn-cs"/>
                  </a:defRPr>
                </a:pPr>
                <a:r>
                  <a:rPr lang="en-IN">
                    <a:solidFill>
                      <a:schemeClr val="accent2">
                        <a:lumMod val="75000"/>
                      </a:schemeClr>
                    </a:solidFill>
                  </a:rPr>
                  <a:t>count</a:t>
                </a:r>
                <a:r>
                  <a:rPr lang="en-IN" baseline="0">
                    <a:solidFill>
                      <a:schemeClr val="accent2">
                        <a:lumMod val="75000"/>
                      </a:schemeClr>
                    </a:solidFill>
                  </a:rPr>
                  <a:t> of movies</a:t>
                </a:r>
                <a:endParaRPr lang="en-IN">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2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[Movie_OTT_Analysis_Raw_Data.xlsx]Sheet2!PivotTable6</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PLATFORMS BY RATING</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9439877987036E-2"/>
          <c:y val="0.20976633129192188"/>
          <c:w val="0.88858738115924818"/>
          <c:h val="0.5914184158816489"/>
        </c:manualLayout>
      </c:layout>
      <c:lineChart>
        <c:grouping val="standard"/>
        <c:varyColors val="0"/>
        <c:ser>
          <c:idx val="0"/>
          <c:order val="0"/>
          <c:tx>
            <c:strRef>
              <c:f>Sheet2!$E$28:$E$29</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Sheet2!$D$30:$D$40</c:f>
              <c:strCache>
                <c:ptCount val="10"/>
                <c:pt idx="0">
                  <c:v>SonyLIV</c:v>
                </c:pt>
                <c:pt idx="1">
                  <c:v>Peacock</c:v>
                </c:pt>
                <c:pt idx="2">
                  <c:v>Paramount+</c:v>
                </c:pt>
                <c:pt idx="3">
                  <c:v>Netflix</c:v>
                </c:pt>
                <c:pt idx="4">
                  <c:v>Lionsgate+</c:v>
                </c:pt>
                <c:pt idx="5">
                  <c:v>Hulu</c:v>
                </c:pt>
                <c:pt idx="6">
                  <c:v>HBO Max</c:v>
                </c:pt>
                <c:pt idx="7">
                  <c:v>Disney+</c:v>
                </c:pt>
                <c:pt idx="8">
                  <c:v>Apple TV+</c:v>
                </c:pt>
                <c:pt idx="9">
                  <c:v>Amazon Prime</c:v>
                </c:pt>
              </c:strCache>
            </c:strRef>
          </c:cat>
          <c:val>
            <c:numRef>
              <c:f>Sheet2!$E$30:$E$40</c:f>
              <c:numCache>
                <c:formatCode>General</c:formatCode>
                <c:ptCount val="10"/>
                <c:pt idx="0">
                  <c:v>7215.4900000000016</c:v>
                </c:pt>
                <c:pt idx="1">
                  <c:v>9609.6</c:v>
                </c:pt>
                <c:pt idx="2">
                  <c:v>17727.379999999997</c:v>
                </c:pt>
                <c:pt idx="3">
                  <c:v>96215.48</c:v>
                </c:pt>
                <c:pt idx="4">
                  <c:v>14993.86</c:v>
                </c:pt>
                <c:pt idx="5">
                  <c:v>10146.469999999999</c:v>
                </c:pt>
                <c:pt idx="6">
                  <c:v>42253.139999999963</c:v>
                </c:pt>
                <c:pt idx="7">
                  <c:v>60851.649999999972</c:v>
                </c:pt>
                <c:pt idx="8">
                  <c:v>12649.04</c:v>
                </c:pt>
                <c:pt idx="9">
                  <c:v>37153.349999999984</c:v>
                </c:pt>
              </c:numCache>
            </c:numRef>
          </c:val>
          <c:smooth val="0"/>
          <c:extLst>
            <c:ext xmlns:c16="http://schemas.microsoft.com/office/drawing/2014/chart" uri="{C3380CC4-5D6E-409C-BE32-E72D297353CC}">
              <c16:uniqueId val="{00000000-7AA7-419A-A70F-842D28AFB6A3}"/>
            </c:ext>
          </c:extLst>
        </c:ser>
        <c:dLbls>
          <c:showLegendKey val="0"/>
          <c:showVal val="0"/>
          <c:showCatName val="0"/>
          <c:showSerName val="0"/>
          <c:showPercent val="0"/>
          <c:showBubbleSize val="0"/>
        </c:dLbls>
        <c:marker val="1"/>
        <c:smooth val="0"/>
        <c:axId val="360846495"/>
        <c:axId val="352970767"/>
      </c:lineChart>
      <c:catAx>
        <c:axId val="36084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2970767"/>
        <c:crosses val="autoZero"/>
        <c:auto val="1"/>
        <c:lblAlgn val="ctr"/>
        <c:lblOffset val="100"/>
        <c:noMultiLvlLbl val="0"/>
      </c:catAx>
      <c:valAx>
        <c:axId val="35297076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4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[Movie_OTT_Analysis_Raw_Data.xlsx]Sheet2!PivotTable3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Sheet2!$E$3:$E$4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6E-44D6-9CE9-321F22A089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6E-44D6-9CE9-321F22A089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6E-44D6-9CE9-321F22A089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6E-44D6-9CE9-321F22A089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6E-44D6-9CE9-321F22A089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F6E-44D6-9CE9-321F22A0891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F6E-44D6-9CE9-321F22A089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F6E-44D6-9CE9-321F22A0891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F6E-44D6-9CE9-321F22A0891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F6E-44D6-9CE9-321F22A08918}"/>
              </c:ext>
            </c:extLst>
          </c:dPt>
          <c:cat>
            <c:strRef>
              <c:f>Sheet2!$D$5:$D$15</c:f>
              <c:strCache>
                <c:ptCount val="10"/>
                <c:pt idx="0">
                  <c:v>Amazon Prime</c:v>
                </c:pt>
                <c:pt idx="1">
                  <c:v>Apple TV+</c:v>
                </c:pt>
                <c:pt idx="2">
                  <c:v>Disney+</c:v>
                </c:pt>
                <c:pt idx="3">
                  <c:v>HBO Max</c:v>
                </c:pt>
                <c:pt idx="4">
                  <c:v>Hulu</c:v>
                </c:pt>
                <c:pt idx="5">
                  <c:v>Lionsgate+</c:v>
                </c:pt>
                <c:pt idx="6">
                  <c:v>Netflix</c:v>
                </c:pt>
                <c:pt idx="7">
                  <c:v>Paramount+</c:v>
                </c:pt>
                <c:pt idx="8">
                  <c:v>Peacock</c:v>
                </c:pt>
                <c:pt idx="9">
                  <c:v>SonyLIV</c:v>
                </c:pt>
              </c:strCache>
            </c:strRef>
          </c:cat>
          <c:val>
            <c:numRef>
              <c:f>Sheet2!$E$5:$E$15</c:f>
              <c:numCache>
                <c:formatCode>General</c:formatCode>
                <c:ptCount val="10"/>
                <c:pt idx="0">
                  <c:v>37153.349999999984</c:v>
                </c:pt>
                <c:pt idx="1">
                  <c:v>12649.04</c:v>
                </c:pt>
                <c:pt idx="2">
                  <c:v>60851.649999999972</c:v>
                </c:pt>
                <c:pt idx="3">
                  <c:v>42253.139999999963</c:v>
                </c:pt>
                <c:pt idx="4">
                  <c:v>10146.469999999999</c:v>
                </c:pt>
                <c:pt idx="5">
                  <c:v>14993.86</c:v>
                </c:pt>
                <c:pt idx="6">
                  <c:v>96215.48</c:v>
                </c:pt>
                <c:pt idx="7">
                  <c:v>17727.379999999997</c:v>
                </c:pt>
                <c:pt idx="8">
                  <c:v>9609.6</c:v>
                </c:pt>
                <c:pt idx="9">
                  <c:v>7215.4900000000016</c:v>
                </c:pt>
              </c:numCache>
            </c:numRef>
          </c:val>
          <c:extLst>
            <c:ext xmlns:c16="http://schemas.microsoft.com/office/drawing/2014/chart" uri="{C3380CC4-5D6E-409C-BE32-E72D297353CC}">
              <c16:uniqueId val="{00000014-1F6E-44D6-9CE9-321F22A089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hyperlink" Target="https://www.bethfishreads.com/2014/09/the-best-of-me-movie-set-visit-part-1.html" TargetMode="External"/><Relationship Id="rId26" Type="http://schemas.openxmlformats.org/officeDocument/2006/relationships/image" Target="../media/image16.jpeg"/><Relationship Id="rId3" Type="http://schemas.openxmlformats.org/officeDocument/2006/relationships/image" Target="../media/image2.jpg"/><Relationship Id="rId21" Type="http://schemas.openxmlformats.org/officeDocument/2006/relationships/image" Target="../media/image14.jpeg"/><Relationship Id="rId7" Type="http://schemas.openxmlformats.org/officeDocument/2006/relationships/chart" Target="../charts/chart5.xml"/><Relationship Id="rId12" Type="http://schemas.openxmlformats.org/officeDocument/2006/relationships/image" Target="../media/image8.png"/><Relationship Id="rId17" Type="http://schemas.openxmlformats.org/officeDocument/2006/relationships/image" Target="../media/image12.jpeg"/><Relationship Id="rId25" Type="http://schemas.openxmlformats.org/officeDocument/2006/relationships/hyperlink" Target="https://blogography.com/hallmark_2017" TargetMode="External"/><Relationship Id="rId2" Type="http://schemas.openxmlformats.org/officeDocument/2006/relationships/image" Target="../media/image1.jpeg"/><Relationship Id="rId16" Type="http://schemas.openxmlformats.org/officeDocument/2006/relationships/chart" Target="../charts/chart6.xml"/><Relationship Id="rId20" Type="http://schemas.openxmlformats.org/officeDocument/2006/relationships/hyperlink" Target="https://en.wikipedia.org/wiki/Fighter_(2024_film)" TargetMode="External"/><Relationship Id="rId29" Type="http://schemas.openxmlformats.org/officeDocument/2006/relationships/image" Target="../media/image17.jpeg"/><Relationship Id="rId1" Type="http://schemas.openxmlformats.org/officeDocument/2006/relationships/chart" Target="../charts/chart4.xml"/><Relationship Id="rId6" Type="http://schemas.openxmlformats.org/officeDocument/2006/relationships/hyperlink" Target="https://en.wikipedia.org/wiki/Pattam_Pole" TargetMode="External"/><Relationship Id="rId11" Type="http://schemas.openxmlformats.org/officeDocument/2006/relationships/image" Target="../media/image7.svg"/><Relationship Id="rId24" Type="http://schemas.openxmlformats.org/officeDocument/2006/relationships/image" Target="../media/image15.jpeg"/><Relationship Id="rId32" Type="http://schemas.openxmlformats.org/officeDocument/2006/relationships/hyperlink" Target="https://blogography.com/archives/category/movies/movies_2019" TargetMode="External"/><Relationship Id="rId5" Type="http://schemas.openxmlformats.org/officeDocument/2006/relationships/image" Target="../media/image3.jpeg"/><Relationship Id="rId15" Type="http://schemas.openxmlformats.org/officeDocument/2006/relationships/image" Target="../media/image11.svg"/><Relationship Id="rId23" Type="http://schemas.openxmlformats.org/officeDocument/2006/relationships/hyperlink" Target="https://creativecommons.org/licenses/by-nc-nd/3.0/" TargetMode="External"/><Relationship Id="rId28" Type="http://schemas.openxmlformats.org/officeDocument/2006/relationships/hyperlink" Target="https://creativecommons.org/licenses/by-nc-sa/3.0/" TargetMode="External"/><Relationship Id="rId10" Type="http://schemas.openxmlformats.org/officeDocument/2006/relationships/image" Target="../media/image6.png"/><Relationship Id="rId19" Type="http://schemas.openxmlformats.org/officeDocument/2006/relationships/image" Target="../media/image13.jpeg"/><Relationship Id="rId31" Type="http://schemas.openxmlformats.org/officeDocument/2006/relationships/image" Target="../media/image18.jpeg"/><Relationship Id="rId4" Type="http://schemas.openxmlformats.org/officeDocument/2006/relationships/hyperlink" Target="https://en.wikipedia.org/wiki/Premalu" TargetMode="External"/><Relationship Id="rId9" Type="http://schemas.openxmlformats.org/officeDocument/2006/relationships/image" Target="../media/image5.svg"/><Relationship Id="rId14" Type="http://schemas.openxmlformats.org/officeDocument/2006/relationships/image" Target="../media/image10.png"/><Relationship Id="rId22" Type="http://schemas.openxmlformats.org/officeDocument/2006/relationships/hyperlink" Target="https://blogography.com/hallmark_2015" TargetMode="External"/><Relationship Id="rId27" Type="http://schemas.openxmlformats.org/officeDocument/2006/relationships/hyperlink" Target="https://starwarslibricomics.it/2021/02/16/comunicato-disney-presenta-star-e-annuncia-nuove-produzioni/" TargetMode="External"/><Relationship Id="rId30" Type="http://schemas.openxmlformats.org/officeDocument/2006/relationships/hyperlink" Target="https://buckmire.blogspot.com/2009/06/movie-review-hangover.html" TargetMode="External"/></Relationships>
</file>

<file path=xl/drawings/drawing1.xml><?xml version="1.0" encoding="utf-8"?>
<xdr:wsDr xmlns:xdr="http://schemas.openxmlformats.org/drawingml/2006/spreadsheetDrawing" xmlns:a="http://schemas.openxmlformats.org/drawingml/2006/main">
  <xdr:twoCellAnchor>
    <xdr:from>
      <xdr:col>2</xdr:col>
      <xdr:colOff>548640</xdr:colOff>
      <xdr:row>7</xdr:row>
      <xdr:rowOff>171450</xdr:rowOff>
    </xdr:from>
    <xdr:to>
      <xdr:col>6</xdr:col>
      <xdr:colOff>1379220</xdr:colOff>
      <xdr:row>22</xdr:row>
      <xdr:rowOff>171450</xdr:rowOff>
    </xdr:to>
    <xdr:graphicFrame macro="">
      <xdr:nvGraphicFramePr>
        <xdr:cNvPr id="2" name="Chart 1">
          <a:extLst>
            <a:ext uri="{FF2B5EF4-FFF2-40B4-BE49-F238E27FC236}">
              <a16:creationId xmlns:a16="http://schemas.microsoft.com/office/drawing/2014/main" id="{ADA394D3-9332-CD07-D669-590EDF611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42</xdr:row>
      <xdr:rowOff>49530</xdr:rowOff>
    </xdr:from>
    <xdr:to>
      <xdr:col>3</xdr:col>
      <xdr:colOff>1798320</xdr:colOff>
      <xdr:row>57</xdr:row>
      <xdr:rowOff>49530</xdr:rowOff>
    </xdr:to>
    <xdr:graphicFrame macro="">
      <xdr:nvGraphicFramePr>
        <xdr:cNvPr id="3" name="Chart 2">
          <a:extLst>
            <a:ext uri="{FF2B5EF4-FFF2-40B4-BE49-F238E27FC236}">
              <a16:creationId xmlns:a16="http://schemas.microsoft.com/office/drawing/2014/main" id="{A3ED31DF-67D9-02E5-89CD-BDF19FEE3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563880</xdr:colOff>
      <xdr:row>8</xdr:row>
      <xdr:rowOff>133350</xdr:rowOff>
    </xdr:from>
    <xdr:to>
      <xdr:col>9</xdr:col>
      <xdr:colOff>556260</xdr:colOff>
      <xdr:row>23</xdr:row>
      <xdr:rowOff>133350</xdr:rowOff>
    </xdr:to>
    <xdr:graphicFrame macro="">
      <xdr:nvGraphicFramePr>
        <xdr:cNvPr id="4" name="Chart 3">
          <a:extLst>
            <a:ext uri="{FF2B5EF4-FFF2-40B4-BE49-F238E27FC236}">
              <a16:creationId xmlns:a16="http://schemas.microsoft.com/office/drawing/2014/main" id="{CC3A6709-4125-858D-514E-E3DBDD44B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406891</xdr:colOff>
      <xdr:row>19</xdr:row>
      <xdr:rowOff>81379</xdr:rowOff>
    </xdr:from>
    <xdr:to>
      <xdr:col>22</xdr:col>
      <xdr:colOff>584446</xdr:colOff>
      <xdr:row>37</xdr:row>
      <xdr:rowOff>73981</xdr:rowOff>
    </xdr:to>
    <xdr:graphicFrame macro="">
      <xdr:nvGraphicFramePr>
        <xdr:cNvPr id="2" name="Chart 1">
          <a:extLst>
            <a:ext uri="{FF2B5EF4-FFF2-40B4-BE49-F238E27FC236}">
              <a16:creationId xmlns:a16="http://schemas.microsoft.com/office/drawing/2014/main" id="{2C8137FA-4A1A-41F5-8A4E-B44668BA5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89745</xdr:colOff>
      <xdr:row>0</xdr:row>
      <xdr:rowOff>175054</xdr:rowOff>
    </xdr:from>
    <xdr:to>
      <xdr:col>2</xdr:col>
      <xdr:colOff>201925</xdr:colOff>
      <xdr:row>5</xdr:row>
      <xdr:rowOff>166270</xdr:rowOff>
    </xdr:to>
    <xdr:pic>
      <xdr:nvPicPr>
        <xdr:cNvPr id="5" name="Picture 4">
          <a:extLst>
            <a:ext uri="{FF2B5EF4-FFF2-40B4-BE49-F238E27FC236}">
              <a16:creationId xmlns:a16="http://schemas.microsoft.com/office/drawing/2014/main" id="{F96708FD-01A2-1A85-9EF7-64F8507D6733}"/>
            </a:ext>
          </a:extLst>
        </xdr:cNvPr>
        <xdr:cNvPicPr>
          <a:picLocks noChangeAspect="1"/>
        </xdr:cNvPicPr>
      </xdr:nvPicPr>
      <xdr:blipFill>
        <a:blip xmlns:r="http://schemas.openxmlformats.org/officeDocument/2006/relationships" r:embed="rId2"/>
        <a:stretch>
          <a:fillRect/>
        </a:stretch>
      </xdr:blipFill>
      <xdr:spPr>
        <a:xfrm rot="639943">
          <a:off x="89745" y="360005"/>
          <a:ext cx="1325462" cy="1093527"/>
        </a:xfrm>
        <a:prstGeom prst="rect">
          <a:avLst/>
        </a:prstGeom>
      </xdr:spPr>
    </xdr:pic>
    <xdr:clientData/>
  </xdr:twoCellAnchor>
  <xdr:twoCellAnchor editAs="oneCell">
    <xdr:from>
      <xdr:col>2</xdr:col>
      <xdr:colOff>125765</xdr:colOff>
      <xdr:row>0</xdr:row>
      <xdr:rowOff>0</xdr:rowOff>
    </xdr:from>
    <xdr:to>
      <xdr:col>4</xdr:col>
      <xdr:colOff>96174</xdr:colOff>
      <xdr:row>5</xdr:row>
      <xdr:rowOff>155570</xdr:rowOff>
    </xdr:to>
    <xdr:pic>
      <xdr:nvPicPr>
        <xdr:cNvPr id="7" name="Picture 6">
          <a:extLst>
            <a:ext uri="{FF2B5EF4-FFF2-40B4-BE49-F238E27FC236}">
              <a16:creationId xmlns:a16="http://schemas.microsoft.com/office/drawing/2014/main" id="{C6410065-0AE1-DC51-8F92-D5C9F39D30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rot="20931476">
          <a:off x="1339047" y="133273"/>
          <a:ext cx="1183690" cy="1257881"/>
        </a:xfrm>
        <a:prstGeom prst="rect">
          <a:avLst/>
        </a:prstGeom>
      </xdr:spPr>
    </xdr:pic>
    <xdr:clientData/>
  </xdr:twoCellAnchor>
  <xdr:oneCellAnchor>
    <xdr:from>
      <xdr:col>14</xdr:col>
      <xdr:colOff>7398</xdr:colOff>
      <xdr:row>25</xdr:row>
      <xdr:rowOff>104864</xdr:rowOff>
    </xdr:from>
    <xdr:ext cx="1509758" cy="258024"/>
    <xdr:sp macro="" textlink="">
      <xdr:nvSpPr>
        <xdr:cNvPr id="8" name="TextBox 7">
          <a:extLst>
            <a:ext uri="{FF2B5EF4-FFF2-40B4-BE49-F238E27FC236}">
              <a16:creationId xmlns:a16="http://schemas.microsoft.com/office/drawing/2014/main" id="{49D97CA1-D1A8-264D-157A-5A843FD1099E}"/>
            </a:ext>
          </a:extLst>
        </xdr:cNvPr>
        <xdr:cNvSpPr txBox="1"/>
      </xdr:nvSpPr>
      <xdr:spPr>
        <a:xfrm>
          <a:off x="7893728" y="4913602"/>
          <a:ext cx="1509758" cy="2580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editAs="oneCell">
    <xdr:from>
      <xdr:col>20</xdr:col>
      <xdr:colOff>554852</xdr:colOff>
      <xdr:row>0</xdr:row>
      <xdr:rowOff>46197</xdr:rowOff>
    </xdr:from>
    <xdr:to>
      <xdr:col>22</xdr:col>
      <xdr:colOff>414290</xdr:colOff>
      <xdr:row>6</xdr:row>
      <xdr:rowOff>143283</xdr:rowOff>
    </xdr:to>
    <xdr:pic>
      <xdr:nvPicPr>
        <xdr:cNvPr id="10" name="Picture 9">
          <a:extLst>
            <a:ext uri="{FF2B5EF4-FFF2-40B4-BE49-F238E27FC236}">
              <a16:creationId xmlns:a16="http://schemas.microsoft.com/office/drawing/2014/main" id="{C7F820CF-AFB4-FF66-3A69-9EC3B9BDBCF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rot="21284834">
          <a:off x="12687668" y="46197"/>
          <a:ext cx="1072719" cy="1384348"/>
        </a:xfrm>
        <a:prstGeom prst="rect">
          <a:avLst/>
        </a:prstGeom>
      </xdr:spPr>
    </xdr:pic>
    <xdr:clientData/>
  </xdr:twoCellAnchor>
  <xdr:oneCellAnchor>
    <xdr:from>
      <xdr:col>14</xdr:col>
      <xdr:colOff>124029</xdr:colOff>
      <xdr:row>26</xdr:row>
      <xdr:rowOff>184213</xdr:rowOff>
    </xdr:from>
    <xdr:ext cx="1466928" cy="258024"/>
    <xdr:sp macro="" textlink="">
      <xdr:nvSpPr>
        <xdr:cNvPr id="11" name="TextBox 10">
          <a:extLst>
            <a:ext uri="{FF2B5EF4-FFF2-40B4-BE49-F238E27FC236}">
              <a16:creationId xmlns:a16="http://schemas.microsoft.com/office/drawing/2014/main" id="{715930E8-6A9D-14AE-1951-FF3979BB1D1B}"/>
            </a:ext>
          </a:extLst>
        </xdr:cNvPr>
        <xdr:cNvSpPr txBox="1"/>
      </xdr:nvSpPr>
      <xdr:spPr>
        <a:xfrm>
          <a:off x="8010359" y="5177902"/>
          <a:ext cx="1466928" cy="2580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0</xdr:col>
      <xdr:colOff>81377</xdr:colOff>
      <xdr:row>7</xdr:row>
      <xdr:rowOff>96172</xdr:rowOff>
    </xdr:from>
    <xdr:to>
      <xdr:col>3</xdr:col>
      <xdr:colOff>443884</xdr:colOff>
      <xdr:row>12</xdr:row>
      <xdr:rowOff>66582</xdr:rowOff>
    </xdr:to>
    <xdr:sp macro="" textlink="">
      <xdr:nvSpPr>
        <xdr:cNvPr id="14" name="Rectangle 13">
          <a:extLst>
            <a:ext uri="{FF2B5EF4-FFF2-40B4-BE49-F238E27FC236}">
              <a16:creationId xmlns:a16="http://schemas.microsoft.com/office/drawing/2014/main" id="{5BDDDA0A-AE82-4614-53EC-3FC43A17EDDA}"/>
            </a:ext>
          </a:extLst>
        </xdr:cNvPr>
        <xdr:cNvSpPr/>
      </xdr:nvSpPr>
      <xdr:spPr>
        <a:xfrm>
          <a:off x="81377" y="1568386"/>
          <a:ext cx="2182429" cy="895167"/>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100"/>
            <a:t>TOTAL MOVIES</a:t>
          </a:r>
        </a:p>
        <a:p>
          <a:pPr algn="ctr"/>
          <a:endParaRPr lang="en-IN" sz="1100"/>
        </a:p>
        <a:p>
          <a:pPr algn="ctr"/>
          <a:r>
            <a:rPr lang="en-IN" sz="2400"/>
            <a:t>400</a:t>
          </a:r>
        </a:p>
      </xdr:txBody>
    </xdr:sp>
    <xdr:clientData/>
  </xdr:twoCellAnchor>
  <xdr:twoCellAnchor>
    <xdr:from>
      <xdr:col>3</xdr:col>
      <xdr:colOff>584449</xdr:colOff>
      <xdr:row>7</xdr:row>
      <xdr:rowOff>96174</xdr:rowOff>
    </xdr:from>
    <xdr:to>
      <xdr:col>8</xdr:col>
      <xdr:colOff>392098</xdr:colOff>
      <xdr:row>12</xdr:row>
      <xdr:rowOff>44389</xdr:rowOff>
    </xdr:to>
    <xdr:sp macro="" textlink="">
      <xdr:nvSpPr>
        <xdr:cNvPr id="16" name="Rectangle 15">
          <a:extLst>
            <a:ext uri="{FF2B5EF4-FFF2-40B4-BE49-F238E27FC236}">
              <a16:creationId xmlns:a16="http://schemas.microsoft.com/office/drawing/2014/main" id="{11A9B3AA-FF58-4518-E5DE-88A7B743DBCD}"/>
            </a:ext>
          </a:extLst>
        </xdr:cNvPr>
        <xdr:cNvSpPr/>
      </xdr:nvSpPr>
      <xdr:spPr>
        <a:xfrm>
          <a:off x="2404371" y="1568388"/>
          <a:ext cx="2234212" cy="87297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100"/>
            <a:t>         AVERAGE RATING</a:t>
          </a:r>
        </a:p>
        <a:p>
          <a:pPr algn="ctr"/>
          <a:endParaRPr lang="en-IN" sz="1100"/>
        </a:p>
        <a:p>
          <a:pPr algn="ctr"/>
          <a:r>
            <a:rPr lang="en-IN" sz="2400"/>
            <a:t>7.1</a:t>
          </a:r>
        </a:p>
      </xdr:txBody>
    </xdr:sp>
    <xdr:clientData/>
  </xdr:twoCellAnchor>
  <xdr:twoCellAnchor>
    <xdr:from>
      <xdr:col>1</xdr:col>
      <xdr:colOff>569650</xdr:colOff>
      <xdr:row>13</xdr:row>
      <xdr:rowOff>14794</xdr:rowOff>
    </xdr:from>
    <xdr:to>
      <xdr:col>12</xdr:col>
      <xdr:colOff>295922</xdr:colOff>
      <xdr:row>32</xdr:row>
      <xdr:rowOff>0</xdr:rowOff>
    </xdr:to>
    <xdr:graphicFrame macro="">
      <xdr:nvGraphicFramePr>
        <xdr:cNvPr id="17" name="Chart 16">
          <a:extLst>
            <a:ext uri="{FF2B5EF4-FFF2-40B4-BE49-F238E27FC236}">
              <a16:creationId xmlns:a16="http://schemas.microsoft.com/office/drawing/2014/main" id="{AF853E5D-CC88-46FF-86D9-1F2902DB7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517864</xdr:colOff>
      <xdr:row>7</xdr:row>
      <xdr:rowOff>81377</xdr:rowOff>
    </xdr:from>
    <xdr:to>
      <xdr:col>13</xdr:col>
      <xdr:colOff>140563</xdr:colOff>
      <xdr:row>12</xdr:row>
      <xdr:rowOff>59184</xdr:rowOff>
    </xdr:to>
    <xdr:sp macro="" textlink="">
      <xdr:nvSpPr>
        <xdr:cNvPr id="18" name="Rectangle 17">
          <a:extLst>
            <a:ext uri="{FF2B5EF4-FFF2-40B4-BE49-F238E27FC236}">
              <a16:creationId xmlns:a16="http://schemas.microsoft.com/office/drawing/2014/main" id="{38D5A3DC-D911-5672-7095-B10E8DF99E61}"/>
            </a:ext>
          </a:extLst>
        </xdr:cNvPr>
        <xdr:cNvSpPr/>
      </xdr:nvSpPr>
      <xdr:spPr>
        <a:xfrm>
          <a:off x="4764349" y="1553591"/>
          <a:ext cx="2655903" cy="90256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100"/>
            <a:t>OTT PLATFORMS</a:t>
          </a:r>
        </a:p>
        <a:p>
          <a:pPr algn="l"/>
          <a:endParaRPr lang="en-IN" sz="1100"/>
        </a:p>
        <a:p>
          <a:pPr algn="ctr"/>
          <a:r>
            <a:rPr lang="en-IN" sz="2400"/>
            <a:t>10</a:t>
          </a:r>
        </a:p>
      </xdr:txBody>
    </xdr:sp>
    <xdr:clientData/>
  </xdr:twoCellAnchor>
  <xdr:twoCellAnchor editAs="oneCell">
    <xdr:from>
      <xdr:col>0</xdr:col>
      <xdr:colOff>244136</xdr:colOff>
      <xdr:row>7</xdr:row>
      <xdr:rowOff>170157</xdr:rowOff>
    </xdr:from>
    <xdr:to>
      <xdr:col>1</xdr:col>
      <xdr:colOff>81378</xdr:colOff>
      <xdr:row>9</xdr:row>
      <xdr:rowOff>163430</xdr:rowOff>
    </xdr:to>
    <xdr:pic>
      <xdr:nvPicPr>
        <xdr:cNvPr id="20" name="Graphic 19" descr="Film reel with solid fill">
          <a:extLst>
            <a:ext uri="{FF2B5EF4-FFF2-40B4-BE49-F238E27FC236}">
              <a16:creationId xmlns:a16="http://schemas.microsoft.com/office/drawing/2014/main" id="{5714B74F-E095-27D7-705F-A0F94547723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4136" y="1642371"/>
          <a:ext cx="443883" cy="363176"/>
        </a:xfrm>
        <a:prstGeom prst="rect">
          <a:avLst/>
        </a:prstGeom>
      </xdr:spPr>
    </xdr:pic>
    <xdr:clientData/>
  </xdr:twoCellAnchor>
  <xdr:twoCellAnchor editAs="oneCell">
    <xdr:from>
      <xdr:col>4</xdr:col>
      <xdr:colOff>480877</xdr:colOff>
      <xdr:row>6</xdr:row>
      <xdr:rowOff>177554</xdr:rowOff>
    </xdr:from>
    <xdr:to>
      <xdr:col>5</xdr:col>
      <xdr:colOff>369905</xdr:colOff>
      <xdr:row>9</xdr:row>
      <xdr:rowOff>118368</xdr:rowOff>
    </xdr:to>
    <xdr:pic>
      <xdr:nvPicPr>
        <xdr:cNvPr id="22" name="Graphic 21" descr="Rating 3 Star with solid fill">
          <a:extLst>
            <a:ext uri="{FF2B5EF4-FFF2-40B4-BE49-F238E27FC236}">
              <a16:creationId xmlns:a16="http://schemas.microsoft.com/office/drawing/2014/main" id="{44D41067-E57E-8BBB-992E-CBDF567B309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907440" y="1464816"/>
          <a:ext cx="495669" cy="495669"/>
        </a:xfrm>
        <a:prstGeom prst="rect">
          <a:avLst/>
        </a:prstGeom>
      </xdr:spPr>
    </xdr:pic>
    <xdr:clientData/>
  </xdr:twoCellAnchor>
  <xdr:twoCellAnchor editAs="oneCell">
    <xdr:from>
      <xdr:col>9</xdr:col>
      <xdr:colOff>162756</xdr:colOff>
      <xdr:row>7</xdr:row>
      <xdr:rowOff>81378</xdr:rowOff>
    </xdr:from>
    <xdr:to>
      <xdr:col>9</xdr:col>
      <xdr:colOff>569650</xdr:colOff>
      <xdr:row>9</xdr:row>
      <xdr:rowOff>118369</xdr:rowOff>
    </xdr:to>
    <xdr:pic>
      <xdr:nvPicPr>
        <xdr:cNvPr id="24" name="Graphic 23" descr="Theatre outline">
          <a:extLst>
            <a:ext uri="{FF2B5EF4-FFF2-40B4-BE49-F238E27FC236}">
              <a16:creationId xmlns:a16="http://schemas.microsoft.com/office/drawing/2014/main" id="{AC7FEE45-E910-11B9-6604-D146E66188E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0800000" flipV="1">
          <a:off x="5015882" y="1553592"/>
          <a:ext cx="406894" cy="406894"/>
        </a:xfrm>
        <a:prstGeom prst="rect">
          <a:avLst/>
        </a:prstGeom>
      </xdr:spPr>
    </xdr:pic>
    <xdr:clientData/>
  </xdr:twoCellAnchor>
  <xdr:twoCellAnchor>
    <xdr:from>
      <xdr:col>13</xdr:col>
      <xdr:colOff>221943</xdr:colOff>
      <xdr:row>7</xdr:row>
      <xdr:rowOff>59183</xdr:rowOff>
    </xdr:from>
    <xdr:to>
      <xdr:col>17</xdr:col>
      <xdr:colOff>288526</xdr:colOff>
      <xdr:row>12</xdr:row>
      <xdr:rowOff>88778</xdr:rowOff>
    </xdr:to>
    <xdr:sp macro="" textlink="">
      <xdr:nvSpPr>
        <xdr:cNvPr id="25" name="Rectangle 24">
          <a:extLst>
            <a:ext uri="{FF2B5EF4-FFF2-40B4-BE49-F238E27FC236}">
              <a16:creationId xmlns:a16="http://schemas.microsoft.com/office/drawing/2014/main" id="{0D973916-0F1A-6B93-F36E-92157D2FE192}"/>
            </a:ext>
          </a:extLst>
        </xdr:cNvPr>
        <xdr:cNvSpPr/>
      </xdr:nvSpPr>
      <xdr:spPr>
        <a:xfrm>
          <a:off x="7501632" y="1531397"/>
          <a:ext cx="2493146" cy="954352"/>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100"/>
            <a:t>TOP GENRE</a:t>
          </a:r>
        </a:p>
        <a:p>
          <a:pPr algn="ctr"/>
          <a:endParaRPr lang="en-IN" sz="1100"/>
        </a:p>
        <a:p>
          <a:pPr algn="ctr"/>
          <a:endParaRPr lang="en-IN" sz="1100"/>
        </a:p>
        <a:p>
          <a:pPr algn="ctr"/>
          <a:r>
            <a:rPr lang="en-IN" sz="1600" b="1"/>
            <a:t>ACTION</a:t>
          </a:r>
          <a:endParaRPr lang="en-IN" sz="1100" b="1"/>
        </a:p>
      </xdr:txBody>
    </xdr:sp>
    <xdr:clientData/>
  </xdr:twoCellAnchor>
  <xdr:twoCellAnchor editAs="oneCell">
    <xdr:from>
      <xdr:col>13</xdr:col>
      <xdr:colOff>510466</xdr:colOff>
      <xdr:row>7</xdr:row>
      <xdr:rowOff>88774</xdr:rowOff>
    </xdr:from>
    <xdr:to>
      <xdr:col>14</xdr:col>
      <xdr:colOff>463118</xdr:colOff>
      <xdr:row>9</xdr:row>
      <xdr:rowOff>118367</xdr:rowOff>
    </xdr:to>
    <xdr:pic>
      <xdr:nvPicPr>
        <xdr:cNvPr id="27" name="Graphic 26" descr="Clapper board with solid fill">
          <a:extLst>
            <a:ext uri="{FF2B5EF4-FFF2-40B4-BE49-F238E27FC236}">
              <a16:creationId xmlns:a16="http://schemas.microsoft.com/office/drawing/2014/main" id="{DF197CF6-6A0A-6F1A-AA48-EC3534A6D3C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790155" y="1560988"/>
          <a:ext cx="559293" cy="399496"/>
        </a:xfrm>
        <a:prstGeom prst="rect">
          <a:avLst/>
        </a:prstGeom>
      </xdr:spPr>
    </xdr:pic>
    <xdr:clientData/>
  </xdr:twoCellAnchor>
  <xdr:twoCellAnchor editAs="oneCell">
    <xdr:from>
      <xdr:col>0</xdr:col>
      <xdr:colOff>118148</xdr:colOff>
      <xdr:row>13</xdr:row>
      <xdr:rowOff>14796</xdr:rowOff>
    </xdr:from>
    <xdr:to>
      <xdr:col>1</xdr:col>
      <xdr:colOff>503069</xdr:colOff>
      <xdr:row>30</xdr:row>
      <xdr:rowOff>177552</xdr:rowOff>
    </xdr:to>
    <mc:AlternateContent xmlns:mc="http://schemas.openxmlformats.org/markup-compatibility/2006">
      <mc:Choice xmlns:a14="http://schemas.microsoft.com/office/drawing/2010/main" Requires="a14">
        <xdr:graphicFrame macro="">
          <xdr:nvGraphicFramePr>
            <xdr:cNvPr id="28" name="Platform">
              <a:extLst>
                <a:ext uri="{FF2B5EF4-FFF2-40B4-BE49-F238E27FC236}">
                  <a16:creationId xmlns:a16="http://schemas.microsoft.com/office/drawing/2014/main" id="{DE59262D-5CDC-3455-9000-DDF10D7925B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18148" y="2596718"/>
              <a:ext cx="991562" cy="3306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332913</xdr:colOff>
      <xdr:row>7</xdr:row>
      <xdr:rowOff>59183</xdr:rowOff>
    </xdr:from>
    <xdr:to>
      <xdr:col>23</xdr:col>
      <xdr:colOff>214543</xdr:colOff>
      <xdr:row>18</xdr:row>
      <xdr:rowOff>103572</xdr:rowOff>
    </xdr:to>
    <xdr:graphicFrame macro="">
      <xdr:nvGraphicFramePr>
        <xdr:cNvPr id="30" name="Chart 29">
          <a:extLst>
            <a:ext uri="{FF2B5EF4-FFF2-40B4-BE49-F238E27FC236}">
              <a16:creationId xmlns:a16="http://schemas.microsoft.com/office/drawing/2014/main" id="{C77D7DF0-B950-46BC-93DC-6E9567BD2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14</xdr:col>
      <xdr:colOff>72318</xdr:colOff>
      <xdr:row>0</xdr:row>
      <xdr:rowOff>47261</xdr:rowOff>
    </xdr:from>
    <xdr:to>
      <xdr:col>16</xdr:col>
      <xdr:colOff>66584</xdr:colOff>
      <xdr:row>6</xdr:row>
      <xdr:rowOff>76852</xdr:rowOff>
    </xdr:to>
    <xdr:pic>
      <xdr:nvPicPr>
        <xdr:cNvPr id="32" name="Picture 31">
          <a:extLst>
            <a:ext uri="{FF2B5EF4-FFF2-40B4-BE49-F238E27FC236}">
              <a16:creationId xmlns:a16="http://schemas.microsoft.com/office/drawing/2014/main" id="{712F3287-BD2D-E51F-20F4-165E6FF328E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rot="21317981">
          <a:off x="7958648" y="47261"/>
          <a:ext cx="1207547" cy="1316853"/>
        </a:xfrm>
        <a:prstGeom prst="rect">
          <a:avLst/>
        </a:prstGeom>
      </xdr:spPr>
    </xdr:pic>
    <xdr:clientData/>
  </xdr:twoCellAnchor>
  <xdr:oneCellAnchor>
    <xdr:from>
      <xdr:col>16</xdr:col>
      <xdr:colOff>214546</xdr:colOff>
      <xdr:row>17</xdr:row>
      <xdr:rowOff>9017</xdr:rowOff>
    </xdr:from>
    <xdr:ext cx="543041" cy="154413"/>
    <xdr:sp macro="" textlink="">
      <xdr:nvSpPr>
        <xdr:cNvPr id="33" name="TextBox 32">
          <a:extLst>
            <a:ext uri="{FF2B5EF4-FFF2-40B4-BE49-F238E27FC236}">
              <a16:creationId xmlns:a16="http://schemas.microsoft.com/office/drawing/2014/main" id="{62A6716A-DBF6-0055-2C10-E1ADC4D553E4}"/>
            </a:ext>
          </a:extLst>
        </xdr:cNvPr>
        <xdr:cNvSpPr txBox="1"/>
      </xdr:nvSpPr>
      <xdr:spPr>
        <a:xfrm rot="21317981">
          <a:off x="9314158" y="3330745"/>
          <a:ext cx="543041" cy="1544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editAs="oneCell">
    <xdr:from>
      <xdr:col>16</xdr:col>
      <xdr:colOff>75822</xdr:colOff>
      <xdr:row>0</xdr:row>
      <xdr:rowOff>113679</xdr:rowOff>
    </xdr:from>
    <xdr:to>
      <xdr:col>17</xdr:col>
      <xdr:colOff>490705</xdr:colOff>
      <xdr:row>6</xdr:row>
      <xdr:rowOff>111225</xdr:rowOff>
    </xdr:to>
    <xdr:pic>
      <xdr:nvPicPr>
        <xdr:cNvPr id="35" name="Picture 34">
          <a:extLst>
            <a:ext uri="{FF2B5EF4-FFF2-40B4-BE49-F238E27FC236}">
              <a16:creationId xmlns:a16="http://schemas.microsoft.com/office/drawing/2014/main" id="{2F658EFC-B1AB-7121-DD19-860B6E5DB8E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rot="11735888" flipV="1">
          <a:off x="9782074" y="113679"/>
          <a:ext cx="1021524" cy="1284808"/>
        </a:xfrm>
        <a:prstGeom prst="rect">
          <a:avLst/>
        </a:prstGeom>
      </xdr:spPr>
    </xdr:pic>
    <xdr:clientData/>
  </xdr:twoCellAnchor>
  <xdr:twoCellAnchor editAs="oneCell">
    <xdr:from>
      <xdr:col>17</xdr:col>
      <xdr:colOff>498048</xdr:colOff>
      <xdr:row>0</xdr:row>
      <xdr:rowOff>54289</xdr:rowOff>
    </xdr:from>
    <xdr:to>
      <xdr:col>19</xdr:col>
      <xdr:colOff>410927</xdr:colOff>
      <xdr:row>5</xdr:row>
      <xdr:rowOff>2563</xdr:rowOff>
    </xdr:to>
    <xdr:pic>
      <xdr:nvPicPr>
        <xdr:cNvPr id="38" name="Picture 37">
          <a:extLst>
            <a:ext uri="{FF2B5EF4-FFF2-40B4-BE49-F238E27FC236}">
              <a16:creationId xmlns:a16="http://schemas.microsoft.com/office/drawing/2014/main" id="{88A37AB0-153F-8B93-C394-4386CFAD10B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837473B0-CC2E-450A-ABE3-18F120FF3D39}">
              <a1611:picAttrSrcUrl xmlns:a1611="http://schemas.microsoft.com/office/drawing/2016/11/main" r:id="rId22"/>
            </a:ext>
          </a:extLst>
        </a:blip>
        <a:stretch>
          <a:fillRect/>
        </a:stretch>
      </xdr:blipFill>
      <xdr:spPr>
        <a:xfrm rot="348511">
          <a:off x="10810941" y="54289"/>
          <a:ext cx="1126161" cy="1050585"/>
        </a:xfrm>
        <a:prstGeom prst="rect">
          <a:avLst/>
        </a:prstGeom>
      </xdr:spPr>
    </xdr:pic>
    <xdr:clientData/>
  </xdr:twoCellAnchor>
  <xdr:oneCellAnchor>
    <xdr:from>
      <xdr:col>18</xdr:col>
      <xdr:colOff>409114</xdr:colOff>
      <xdr:row>16</xdr:row>
      <xdr:rowOff>177142</xdr:rowOff>
    </xdr:from>
    <xdr:ext cx="396670" cy="46313"/>
    <xdr:sp macro="" textlink="">
      <xdr:nvSpPr>
        <xdr:cNvPr id="39" name="TextBox 38">
          <a:extLst>
            <a:ext uri="{FF2B5EF4-FFF2-40B4-BE49-F238E27FC236}">
              <a16:creationId xmlns:a16="http://schemas.microsoft.com/office/drawing/2014/main" id="{A3B12BE2-ECDE-1E35-3341-5E2DDD4BC855}"/>
            </a:ext>
          </a:extLst>
        </xdr:cNvPr>
        <xdr:cNvSpPr txBox="1"/>
      </xdr:nvSpPr>
      <xdr:spPr>
        <a:xfrm rot="348511">
          <a:off x="10722007" y="3313919"/>
          <a:ext cx="396670" cy="46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22" tooltip="https://blogography.com/hallmark_2015"/>
            </a:rPr>
            <a:t>This Photo</a:t>
          </a:r>
          <a:r>
            <a:rPr lang="en-IN" sz="900"/>
            <a:t> by Unknown Author is licensed under </a:t>
          </a:r>
          <a:r>
            <a:rPr lang="en-IN" sz="900">
              <a:hlinkClick xmlns:r="http://schemas.openxmlformats.org/officeDocument/2006/relationships" r:id="rId23" tooltip="https://creativecommons.org/licenses/by-nc-nd/3.0/"/>
            </a:rPr>
            <a:t>CC BY-NC-ND</a:t>
          </a:r>
          <a:endParaRPr lang="en-IN" sz="900"/>
        </a:p>
      </xdr:txBody>
    </xdr:sp>
    <xdr:clientData/>
  </xdr:oneCellAnchor>
  <xdr:twoCellAnchor editAs="oneCell">
    <xdr:from>
      <xdr:col>18</xdr:col>
      <xdr:colOff>574066</xdr:colOff>
      <xdr:row>1</xdr:row>
      <xdr:rowOff>130308</xdr:rowOff>
    </xdr:from>
    <xdr:to>
      <xdr:col>20</xdr:col>
      <xdr:colOff>486945</xdr:colOff>
      <xdr:row>6</xdr:row>
      <xdr:rowOff>78582</xdr:rowOff>
    </xdr:to>
    <xdr:pic>
      <xdr:nvPicPr>
        <xdr:cNvPr id="41" name="Picture 40">
          <a:extLst>
            <a:ext uri="{FF2B5EF4-FFF2-40B4-BE49-F238E27FC236}">
              <a16:creationId xmlns:a16="http://schemas.microsoft.com/office/drawing/2014/main" id="{58C187FE-C4DD-3A12-655D-8B07DB1BBB12}"/>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837473B0-CC2E-450A-ABE3-18F120FF3D39}">
              <a1611:picAttrSrcUrl xmlns:a1611="http://schemas.microsoft.com/office/drawing/2016/11/main" r:id="rId25"/>
            </a:ext>
          </a:extLst>
        </a:blip>
        <a:stretch>
          <a:fillRect/>
        </a:stretch>
      </xdr:blipFill>
      <xdr:spPr>
        <a:xfrm rot="348511">
          <a:off x="11493600" y="315259"/>
          <a:ext cx="1126161" cy="1050585"/>
        </a:xfrm>
        <a:prstGeom prst="rect">
          <a:avLst/>
        </a:prstGeom>
      </xdr:spPr>
    </xdr:pic>
    <xdr:clientData/>
  </xdr:twoCellAnchor>
  <xdr:oneCellAnchor>
    <xdr:from>
      <xdr:col>18</xdr:col>
      <xdr:colOff>559114</xdr:colOff>
      <xdr:row>17</xdr:row>
      <xdr:rowOff>142191</xdr:rowOff>
    </xdr:from>
    <xdr:ext cx="396670" cy="46313"/>
    <xdr:sp macro="" textlink="">
      <xdr:nvSpPr>
        <xdr:cNvPr id="42" name="TextBox 41">
          <a:extLst>
            <a:ext uri="{FF2B5EF4-FFF2-40B4-BE49-F238E27FC236}">
              <a16:creationId xmlns:a16="http://schemas.microsoft.com/office/drawing/2014/main" id="{77AC246C-D8E1-1E18-8A70-D815765915C9}"/>
            </a:ext>
          </a:extLst>
        </xdr:cNvPr>
        <xdr:cNvSpPr txBox="1"/>
      </xdr:nvSpPr>
      <xdr:spPr>
        <a:xfrm rot="348511">
          <a:off x="10872007" y="3463919"/>
          <a:ext cx="396670" cy="46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25" tooltip="https://blogography.com/hallmark_2017"/>
            </a:rPr>
            <a:t>This Photo</a:t>
          </a:r>
          <a:r>
            <a:rPr lang="en-IN" sz="900"/>
            <a:t> by Unknown Author is licensed under </a:t>
          </a:r>
          <a:r>
            <a:rPr lang="en-IN" sz="900">
              <a:hlinkClick xmlns:r="http://schemas.openxmlformats.org/officeDocument/2006/relationships" r:id="rId23" tooltip="https://creativecommons.org/licenses/by-nc-nd/3.0/"/>
            </a:rPr>
            <a:t>CC BY-NC-ND</a:t>
          </a:r>
          <a:endParaRPr lang="en-IN" sz="900"/>
        </a:p>
      </xdr:txBody>
    </xdr:sp>
    <xdr:clientData/>
  </xdr:oneCellAnchor>
  <xdr:twoCellAnchor editAs="oneCell">
    <xdr:from>
      <xdr:col>3</xdr:col>
      <xdr:colOff>510014</xdr:colOff>
      <xdr:row>0</xdr:row>
      <xdr:rowOff>114678</xdr:rowOff>
    </xdr:from>
    <xdr:to>
      <xdr:col>5</xdr:col>
      <xdr:colOff>591845</xdr:colOff>
      <xdr:row>3</xdr:row>
      <xdr:rowOff>25902</xdr:rowOff>
    </xdr:to>
    <xdr:pic>
      <xdr:nvPicPr>
        <xdr:cNvPr id="47" name="Picture 46">
          <a:extLst>
            <a:ext uri="{FF2B5EF4-FFF2-40B4-BE49-F238E27FC236}">
              <a16:creationId xmlns:a16="http://schemas.microsoft.com/office/drawing/2014/main" id="{FB06951A-E5DE-5D15-9656-C868F111D8AD}"/>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837473B0-CC2E-450A-ABE3-18F120FF3D39}">
              <a1611:picAttrSrcUrl xmlns:a1611="http://schemas.microsoft.com/office/drawing/2016/11/main" r:id="rId27"/>
            </a:ext>
          </a:extLst>
        </a:blip>
        <a:stretch>
          <a:fillRect/>
        </a:stretch>
      </xdr:blipFill>
      <xdr:spPr>
        <a:xfrm rot="20957741">
          <a:off x="2329936" y="114678"/>
          <a:ext cx="1295113" cy="643632"/>
        </a:xfrm>
        <a:prstGeom prst="rect">
          <a:avLst/>
        </a:prstGeom>
      </xdr:spPr>
    </xdr:pic>
    <xdr:clientData/>
  </xdr:twoCellAnchor>
  <xdr:oneCellAnchor>
    <xdr:from>
      <xdr:col>5</xdr:col>
      <xdr:colOff>392097</xdr:colOff>
      <xdr:row>12</xdr:row>
      <xdr:rowOff>144456</xdr:rowOff>
    </xdr:from>
    <xdr:ext cx="1220680" cy="45719"/>
    <xdr:sp macro="" textlink="">
      <xdr:nvSpPr>
        <xdr:cNvPr id="48" name="TextBox 47">
          <a:extLst>
            <a:ext uri="{FF2B5EF4-FFF2-40B4-BE49-F238E27FC236}">
              <a16:creationId xmlns:a16="http://schemas.microsoft.com/office/drawing/2014/main" id="{1B7878FF-160E-4260-BF15-7CAAF699F13C}"/>
            </a:ext>
          </a:extLst>
        </xdr:cNvPr>
        <xdr:cNvSpPr txBox="1"/>
      </xdr:nvSpPr>
      <xdr:spPr>
        <a:xfrm>
          <a:off x="3425301" y="2541427"/>
          <a:ext cx="122068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27" tooltip="https://starwarslibricomics.it/2021/02/16/comunicato-disney-presenta-star-e-annuncia-nuove-produzioni/"/>
            </a:rPr>
            <a:t>This Photo</a:t>
          </a:r>
          <a:r>
            <a:rPr lang="en-IN" sz="900"/>
            <a:t> by Unknown Author is licensed under </a:t>
          </a:r>
          <a:r>
            <a:rPr lang="en-IN" sz="900">
              <a:hlinkClick xmlns:r="http://schemas.openxmlformats.org/officeDocument/2006/relationships" r:id="rId28" tooltip="https://creativecommons.org/licenses/by-nc-sa/3.0/"/>
            </a:rPr>
            <a:t>CC BY-SA-NC</a:t>
          </a:r>
          <a:endParaRPr lang="en-IN" sz="900"/>
        </a:p>
      </xdr:txBody>
    </xdr:sp>
    <xdr:clientData/>
  </xdr:oneCellAnchor>
  <xdr:twoCellAnchor editAs="oneCell">
    <xdr:from>
      <xdr:col>5</xdr:col>
      <xdr:colOff>217775</xdr:colOff>
      <xdr:row>0</xdr:row>
      <xdr:rowOff>156822</xdr:rowOff>
    </xdr:from>
    <xdr:to>
      <xdr:col>6</xdr:col>
      <xdr:colOff>528592</xdr:colOff>
      <xdr:row>6</xdr:row>
      <xdr:rowOff>66876</xdr:rowOff>
    </xdr:to>
    <xdr:pic>
      <xdr:nvPicPr>
        <xdr:cNvPr id="50" name="Picture 49">
          <a:extLst>
            <a:ext uri="{FF2B5EF4-FFF2-40B4-BE49-F238E27FC236}">
              <a16:creationId xmlns:a16="http://schemas.microsoft.com/office/drawing/2014/main" id="{3443648E-E5FD-3187-73A0-88FEEAB5DA1E}"/>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 uri="{837473B0-CC2E-450A-ABE3-18F120FF3D39}">
              <a1611:picAttrSrcUrl xmlns:a1611="http://schemas.microsoft.com/office/drawing/2016/11/main" r:id="rId30"/>
            </a:ext>
          </a:extLst>
        </a:blip>
        <a:stretch>
          <a:fillRect/>
        </a:stretch>
      </xdr:blipFill>
      <xdr:spPr>
        <a:xfrm rot="9614440" flipV="1">
          <a:off x="3250979" y="156822"/>
          <a:ext cx="917458" cy="1197316"/>
        </a:xfrm>
        <a:prstGeom prst="rect">
          <a:avLst/>
        </a:prstGeom>
      </xdr:spPr>
    </xdr:pic>
    <xdr:clientData/>
  </xdr:twoCellAnchor>
  <xdr:oneCellAnchor>
    <xdr:from>
      <xdr:col>4</xdr:col>
      <xdr:colOff>217078</xdr:colOff>
      <xdr:row>27</xdr:row>
      <xdr:rowOff>61679</xdr:rowOff>
    </xdr:from>
    <xdr:ext cx="545885" cy="1235898"/>
    <xdr:sp macro="" textlink="">
      <xdr:nvSpPr>
        <xdr:cNvPr id="51" name="TextBox 50">
          <a:extLst>
            <a:ext uri="{FF2B5EF4-FFF2-40B4-BE49-F238E27FC236}">
              <a16:creationId xmlns:a16="http://schemas.microsoft.com/office/drawing/2014/main" id="{A6F3CC7A-08DB-8E80-9EE1-7CC83B8CDF17}"/>
            </a:ext>
          </a:extLst>
        </xdr:cNvPr>
        <xdr:cNvSpPr txBox="1"/>
      </xdr:nvSpPr>
      <xdr:spPr>
        <a:xfrm rot="11677176" flipV="1">
          <a:off x="2643641" y="5232922"/>
          <a:ext cx="545885" cy="1235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editAs="oneCell">
    <xdr:from>
      <xdr:col>12</xdr:col>
      <xdr:colOff>369903</xdr:colOff>
      <xdr:row>12</xdr:row>
      <xdr:rowOff>170155</xdr:rowOff>
    </xdr:from>
    <xdr:to>
      <xdr:col>17</xdr:col>
      <xdr:colOff>184951</xdr:colOff>
      <xdr:row>19</xdr:row>
      <xdr:rowOff>0</xdr:rowOff>
    </xdr:to>
    <mc:AlternateContent xmlns:mc="http://schemas.openxmlformats.org/markup-compatibility/2006">
      <mc:Choice xmlns:tsle="http://schemas.microsoft.com/office/drawing/2012/timeslicer" Requires="tsle">
        <xdr:graphicFrame macro="">
          <xdr:nvGraphicFramePr>
            <xdr:cNvPr id="52" name="Release Year">
              <a:extLst>
                <a:ext uri="{FF2B5EF4-FFF2-40B4-BE49-F238E27FC236}">
                  <a16:creationId xmlns:a16="http://schemas.microsoft.com/office/drawing/2014/main" id="{9D0AB107-7465-BBB4-E0DA-AE23134369F2}"/>
                </a:ext>
              </a:extLst>
            </xdr:cNvPr>
            <xdr:cNvGraphicFramePr/>
          </xdr:nvGraphicFramePr>
          <xdr:xfrm>
            <a:off x="0" y="0"/>
            <a:ext cx="0" cy="0"/>
          </xdr:xfrm>
          <a:graphic>
            <a:graphicData uri="http://schemas.microsoft.com/office/drawing/2012/timeslicer">
              <tsle:timeslicer xmlns:tsle="http://schemas.microsoft.com/office/drawing/2012/timeslicer" name="Release Year"/>
            </a:graphicData>
          </a:graphic>
        </xdr:graphicFrame>
      </mc:Choice>
      <mc:Fallback>
        <xdr:sp macro="" textlink="">
          <xdr:nvSpPr>
            <xdr:cNvPr id="0" name=""/>
            <xdr:cNvSpPr>
              <a:spLocks noTextEdit="1"/>
            </xdr:cNvSpPr>
          </xdr:nvSpPr>
          <xdr:spPr>
            <a:xfrm>
              <a:off x="7649592" y="2567126"/>
              <a:ext cx="2848252" cy="11245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517864</xdr:colOff>
      <xdr:row>0</xdr:row>
      <xdr:rowOff>0</xdr:rowOff>
    </xdr:from>
    <xdr:to>
      <xdr:col>5</xdr:col>
      <xdr:colOff>399495</xdr:colOff>
      <xdr:row>6</xdr:row>
      <xdr:rowOff>155361</xdr:rowOff>
    </xdr:to>
    <xdr:pic>
      <xdr:nvPicPr>
        <xdr:cNvPr id="54" name="Picture 53">
          <a:extLst>
            <a:ext uri="{FF2B5EF4-FFF2-40B4-BE49-F238E27FC236}">
              <a16:creationId xmlns:a16="http://schemas.microsoft.com/office/drawing/2014/main" id="{850CDAD5-5389-5197-530E-8F36C03477D8}"/>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 uri="{837473B0-CC2E-450A-ABE3-18F120FF3D39}">
              <a1611:picAttrSrcUrl xmlns:a1611="http://schemas.microsoft.com/office/drawing/2016/11/main" r:id="rId32"/>
            </a:ext>
          </a:extLst>
        </a:blip>
        <a:stretch>
          <a:fillRect/>
        </a:stretch>
      </xdr:blipFill>
      <xdr:spPr>
        <a:xfrm>
          <a:off x="2337786" y="0"/>
          <a:ext cx="1094913" cy="1442623"/>
        </a:xfrm>
        <a:prstGeom prst="rect">
          <a:avLst/>
        </a:prstGeom>
      </xdr:spPr>
    </xdr:pic>
    <xdr:clientData/>
  </xdr:twoCellAnchor>
  <xdr:oneCellAnchor>
    <xdr:from>
      <xdr:col>6</xdr:col>
      <xdr:colOff>83026</xdr:colOff>
      <xdr:row>19</xdr:row>
      <xdr:rowOff>95693</xdr:rowOff>
    </xdr:from>
    <xdr:ext cx="668201" cy="101779"/>
    <xdr:sp macro="" textlink="">
      <xdr:nvSpPr>
        <xdr:cNvPr id="55" name="TextBox 54">
          <a:extLst>
            <a:ext uri="{FF2B5EF4-FFF2-40B4-BE49-F238E27FC236}">
              <a16:creationId xmlns:a16="http://schemas.microsoft.com/office/drawing/2014/main" id="{40035D06-529B-0E28-9B3C-E33E4ADF4765}"/>
            </a:ext>
          </a:extLst>
        </xdr:cNvPr>
        <xdr:cNvSpPr txBox="1"/>
      </xdr:nvSpPr>
      <xdr:spPr>
        <a:xfrm>
          <a:off x="3722871" y="3787324"/>
          <a:ext cx="668201" cy="1017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32" tooltip="https://blogography.com/archives/category/movies/movies_2019"/>
            </a:rPr>
            <a:t>This Photo</a:t>
          </a:r>
          <a:r>
            <a:rPr lang="en-IN" sz="900"/>
            <a:t> by Unknown Author is licensed under </a:t>
          </a:r>
          <a:r>
            <a:rPr lang="en-IN" sz="900">
              <a:hlinkClick xmlns:r="http://schemas.openxmlformats.org/officeDocument/2006/relationships" r:id="rId23" tooltip="https://creativecommons.org/licenses/by-nc-nd/3.0/"/>
            </a:rPr>
            <a:t>CC BY-NC-ND</a:t>
          </a:r>
          <a:endParaRPr lang="en-IN" sz="9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KANANDA" refreshedDate="46262.820392824076" createdVersion="8" refreshedVersion="8" minRefreshableVersion="3" recordCount="589" xr:uid="{C2654167-19E1-404D-AF4D-51C56265E45D}">
  <cacheSource type="worksheet">
    <worksheetSource name="Table1_1"/>
  </cacheSource>
  <cacheFields count="14">
    <cacheField name="Movie ID" numFmtId="0">
      <sharedItems/>
    </cacheField>
    <cacheField name="Movie Name" numFmtId="0">
      <sharedItems count="589">
        <s v="Oppenheimer"/>
        <s v="Inception 568"/>
        <s v="Jigarthanda DoubleX 276"/>
        <s v="A Quiet Place 293"/>
        <s v="Train to Busan 120"/>
        <s v="Dangal 72"/>
        <s v="RRR 157"/>
        <s v="A Quiet Place"/>
        <s v="Kantara 506"/>
        <s v="Bangalore Days 527"/>
        <s v="John Wick 4"/>
        <s v="Vikram 414"/>
        <s v="Oppenheimer 111"/>
        <s v="Manjummel Boys 309"/>
        <s v="A Quiet Place 243"/>
        <s v="Train to Busan 170"/>
        <s v="Barbie 312"/>
        <s v="Get Out 392"/>
        <s v="Bangalore Days 327"/>
        <s v="Gone Girl 197"/>
        <s v="Kantara 56"/>
        <s v="Spider-Man: No Way Home 533"/>
        <s v="Pathaan"/>
        <s v="Inception 418"/>
        <s v="Toy Story 4 384"/>
        <s v="Bahubali 2 423"/>
        <s v="Kumbalangi Nights 515"/>
        <s v="Drishyam 2 354"/>
        <s v="Dune: Part Two 505"/>
        <s v="The Notebook 350"/>
        <s v="Jawan 352"/>
        <s v="Ustad Hotel 78"/>
        <s v="Gone Girl 447"/>
        <s v="Dune: Part Two"/>
        <s v="Premam 266"/>
        <s v="Knives Out 594"/>
        <s v="Interstellar"/>
        <s v="Train to Busan 370"/>
        <s v="Bahubali 2 173"/>
        <s v="Barbie 262"/>
        <s v="KGF Chapter 2 374"/>
        <s v="Interstellar 267"/>
        <s v="John Wick 4 490"/>
        <s v="Dangal 422"/>
        <s v="John Wick 4 90"/>
        <s v="Train to Busan 570"/>
        <s v="Barbie 62"/>
        <s v="Zootopia 437"/>
        <s v="Vikram"/>
        <s v="Interstellar 217"/>
        <s v="Parasite 169"/>
        <s v="Parasite 319"/>
        <s v="Premam 66"/>
        <s v="Top Gun: Maverick 489"/>
        <s v="The Batman 160"/>
        <s v="Inception 468"/>
        <s v="Oppenheimer 261"/>
        <s v="The Batman 110"/>
        <s v="The Shawshank Redemption 581"/>
        <s v="Kantara 256"/>
        <s v="Interstellar 167"/>
        <s v="Coco 235"/>
        <s v="Dune: Part Two 255"/>
        <s v="Coco 535"/>
        <s v="Knives Out 444"/>
        <s v="KGF Chapter 2 224"/>
        <s v="Vikram 114"/>
        <s v="12th Fail 58"/>
        <s v="The Menu 546"/>
        <s v="Barbie 412"/>
        <s v="Gone Girl 97"/>
        <s v="3 Idiots 171"/>
        <s v="Glass Onion 195"/>
        <s v="The Conjuring 291"/>
        <s v="Ustad Hotel 578"/>
        <s v="Premam 516"/>
        <s v="A Quiet Place 143"/>
        <s v="Leo 551"/>
        <s v="Glass Onion 245"/>
        <s v="Forrest Gump 530"/>
        <s v="Zootopia 187"/>
        <s v="KGF Chapter 2"/>
        <s v="Bahubali 2 273"/>
        <s v="KGF Chapter 2 124"/>
        <s v="3 Idiots 321"/>
        <s v="Vikram 564"/>
        <s v="The Notebook 150"/>
        <s v="Inside Out"/>
        <s v="Kumbalangi Nights"/>
        <s v="Spider-Man: No Way Home 383"/>
        <s v="La La Land 399"/>
        <s v="KGF Chapter 2 524"/>
        <s v="Premalu 453"/>
        <s v="Dune: Part Two 105"/>
        <s v="The Dark Knight 179"/>
        <s v="Sita Ramam 525"/>
        <s v="Bahubali 2 223"/>
        <s v="Premam 216"/>
        <s v="Jigarthanda DoubleX 526"/>
        <s v="Shutter Island 148"/>
        <s v="Train to Busan 520"/>
        <s v="Ustad Hotel"/>
        <s v="Knives Out"/>
        <s v="Oppenheimer 361"/>
        <s v="Kantara 156"/>
        <s v="Bahubali 2 473"/>
        <s v="Barbie 562"/>
        <s v="The Shawshank Redemption 181"/>
        <s v="Bangalore Days 127"/>
        <s v="Pathaan 413"/>
        <s v="Knives Out 94"/>
        <s v="Train to Busan 220"/>
        <s v="Drishyam 2 554"/>
        <s v="Sita Ramam 425"/>
        <s v="Kantara 406"/>
        <s v="Frozen II"/>
        <s v="La La Land 449"/>
        <s v="Premalu 103"/>
        <s v="Inside Out 536"/>
        <s v="Top Gun: Maverick 539"/>
        <s v="3 Idiots"/>
        <s v="Spider-Man: No Way Home 433"/>
        <s v="Forrest Gump 280"/>
        <s v="Toy Story 4 284"/>
        <s v="The Shawshank Redemption 131"/>
        <s v="Pathaan 163"/>
        <s v="Gone Girl 497"/>
        <s v="Get Out 92"/>
        <s v="Interstellar 117"/>
        <s v="Zootopia 337"/>
        <s v="Frozen II 188"/>
        <s v="The Dark Knight 329"/>
        <s v="The Notebook 450"/>
        <s v="Dune: Part Two 555"/>
        <s v="12th Fail 558"/>
        <s v="Vikram 364"/>
        <s v="The Shawshank Redemption 431"/>
        <s v="RRR 257"/>
        <s v="Dune: Part Two 205"/>
        <s v="RRR 357"/>
        <s v="RRR 307"/>
        <s v="Gone Girl 297"/>
        <s v="Spider-Man: No Way Home 83"/>
        <s v="Top Gun: Maverick 89"/>
        <s v="Ustad Hotel 478"/>
        <s v="3 Idiots 71"/>
        <s v="John Wick 4 440"/>
        <s v="Kantara 456"/>
        <s v="Gone Girl"/>
        <s v="The Batman 210"/>
        <s v="Spider-Man: No Way Home 233"/>
        <s v="Interstellar 367"/>
        <s v="KGF Chapter 2 174"/>
        <s v="The Notebook 200"/>
        <s v="Ustad Hotel 278"/>
        <s v="Toy Story 4 334"/>
        <s v="RRR"/>
        <s v="Jigarthanda DoubleX"/>
        <s v="La La Land 99"/>
        <s v="Spider-Man: No Way Home 133"/>
        <s v="Interstellar 67"/>
        <s v="Dangal 472"/>
        <s v="Forrest Gump"/>
        <s v="Bahubali 2"/>
        <s v="Knives Out 244"/>
        <s v="Jigarthanda DoubleX 576"/>
        <s v="Ustad Hotel 428"/>
        <s v="Manjummel Boys 59"/>
        <s v="Manjummel Boys 109"/>
        <s v="The Notebook 500"/>
        <s v="Premam 416"/>
        <s v="John Wick 4 390"/>
        <s v="The Dark Knight 479"/>
        <s v="Premalu 153"/>
        <s v="The Batman 360"/>
        <s v="The Conjuring"/>
        <s v="Premam 116"/>
        <s v="Kumbalangi Nights 165"/>
        <s v="Pathaan 363"/>
        <s v="Ustad Hotel 128"/>
        <s v="Manjummel Boys 259"/>
        <s v="The Menu"/>
        <s v="Glass Onion 495"/>
        <s v="Manjummel Boys 459"/>
        <s v="Shutter Island 548"/>
        <s v="Dangal 172"/>
        <s v="Jawan 52"/>
        <s v="The Conjuring 391"/>
        <s v="KGF Chapter 2 274"/>
        <s v="Glass Onion 395"/>
        <s v="Sita Ramam 325"/>
        <s v="The Batman"/>
        <s v="The Dark Knight 379"/>
        <s v="Avengers: Endgame 532"/>
        <s v="The Batman 460"/>
        <s v="Get Out 142"/>
        <s v="The Dark Knight 579"/>
        <s v="Jigarthanda DoubleX 176"/>
        <s v="Coco 135"/>
        <s v="Jawan 552"/>
        <s v="Train to Busan 70"/>
        <s v="Forrest Gump 180"/>
        <s v="Jigarthanda DoubleX 376"/>
        <s v="Drishyam 2 454"/>
        <s v="Train to Busan 320"/>
        <s v="The Conjuring 591"/>
        <s v="La La Land 499"/>
        <s v="KGF Chapter 2 324"/>
        <s v="Frozen II 88"/>
        <s v="Avengers: Endgame 432"/>
        <s v="Bangalore Days 277"/>
        <s v="Jawan 452"/>
        <s v="Dangal 522"/>
        <s v="Interstellar 517"/>
        <s v="Bangalore Days 427"/>
        <s v="The Dark Knight 529"/>
        <s v="La La Land 549"/>
        <s v="Parasite 419"/>
        <s v="Vikram 464"/>
        <s v="Sita Ramam 225"/>
        <s v="Pathaan 213"/>
        <s v="Kantara 556"/>
        <s v="Manjummel Boys 359"/>
        <s v="Vikram 214"/>
        <s v="Knives Out 544"/>
        <s v="The Shawshank Redemption 481"/>
        <s v="Glass Onion"/>
        <s v="Knives Out 294"/>
        <s v="The Conjuring 341"/>
        <s v="Leo 451"/>
        <s v="Jawan 502"/>
        <s v="The Conjuring 541"/>
        <s v="Parasite 569"/>
        <s v="The Dark Knight 129"/>
        <s v="Kumbalangi Nights 415"/>
        <s v="Pathaan 513"/>
        <s v="Zootopia 137"/>
        <s v="Barbie 462"/>
        <s v="Bahubali 2 523"/>
        <s v="Gone Girl 547"/>
        <s v="Gone Girl 147"/>
        <s v="Leo 201"/>
        <s v="Coco 85"/>
        <s v="Top Gun: Maverick 439"/>
        <s v="Knives Out 144"/>
        <s v="Toy Story 4 434"/>
        <s v="A Quiet Place 543"/>
        <s v="Shutter Island"/>
        <s v="Shutter Island 598"/>
        <s v="Inside Out 436"/>
        <s v="A Quiet Place 443"/>
        <s v="Frozen II 588"/>
        <s v="The Notebook 100"/>
        <s v="Get Out 192"/>
        <s v="The Batman 60"/>
        <s v="Barbie"/>
        <s v="Bangalore Days"/>
        <s v="Frozen II 388"/>
        <s v="The Notebook 250"/>
        <s v="A Quiet Place 393"/>
        <s v="Get Out 592"/>
        <s v="Bahubali 2 73"/>
        <s v="Zootopia 87"/>
        <s v="Top Gun: Maverick 189"/>
        <s v="Ustad Hotel 178"/>
        <s v="Vikram 314"/>
        <s v="The Conjuring 191"/>
        <s v="RRR 107"/>
        <s v="The Menu 246"/>
        <s v="12th Fail 458"/>
        <s v="A Quiet Place 93"/>
        <s v="Premalu 253"/>
        <s v="Shutter Island 348"/>
        <s v="Dune: Part Two 405"/>
        <s v="Jawan 202"/>
        <s v="3 Idiots 571"/>
        <s v="12th Fail 158"/>
        <s v="Interstellar 317"/>
        <s v="The Menu 196"/>
        <s v="Spider-Man: No Way Home 283"/>
        <s v="The Shawshank Redemption 281"/>
        <s v="The Conjuring 141"/>
        <s v="Gone Girl 347"/>
        <s v="Oppenheimer 411"/>
        <s v="Dangal 222"/>
        <s v="The Dark Knight 229"/>
        <s v="Dangal 372"/>
        <s v="Bangalore Days 177"/>
        <s v="John Wick 4 590"/>
        <s v="KGF Chapter 2 474"/>
        <s v="RRR 457"/>
        <s v="Inside Out 136"/>
        <s v="Jawan 302"/>
        <s v="Leo 401"/>
        <s v="Jawan 252"/>
        <s v="Inside Out 386"/>
        <s v="Inside Out 336"/>
        <s v="Jigarthanda DoubleX 426"/>
        <s v="Parasite 519"/>
        <s v="Forrest Gump 580"/>
        <s v="Pathaan 263"/>
        <s v="The Shawshank Redemption 381"/>
        <s v="Pathaan 563"/>
        <s v="Sita Ramam"/>
        <s v="Forrest Gump 230"/>
        <s v="Pathaan 313"/>
        <s v="Vikram 164"/>
        <s v="Premam 566"/>
        <s v="Spider-Man: No Way Home 183"/>
        <s v="Top Gun: Maverick 339"/>
        <s v="Spider-Man: No Way Home"/>
        <s v="Ustad Hotel 528"/>
        <s v="Frozen II 438"/>
        <s v="Premam 466"/>
        <s v="Bangalore Days 77"/>
        <s v="Train to Busan"/>
        <s v="The Menu 496"/>
        <s v="Inside Out 586"/>
        <s v="Shutter Island 248"/>
        <s v="3 Idiots 521"/>
        <s v="John Wick 4 240"/>
        <s v="Kumbalangi Nights 315"/>
        <s v="Sita Ramam 575"/>
        <s v="Knives Out 394"/>
        <s v="The Menu 96"/>
        <s v="Inception 518"/>
        <s v="Inside Out 186"/>
        <s v="Oppenheimer 61"/>
        <s v="Parasite"/>
        <s v="Leo 301"/>
        <s v="Drishyam 2 54"/>
        <s v="Spider-Man: No Way Home 333"/>
        <s v="Toy Story 4 534"/>
        <s v="Shutter Island 98"/>
        <s v="Premalu 303"/>
        <s v="John Wick 4 340"/>
        <s v="Glass Onion 295"/>
        <s v="The Shawshank Redemption"/>
        <s v="La La Land 599"/>
        <s v="Get Out 442"/>
        <s v="Avengers: Endgame 232"/>
        <s v="Shutter Island 398"/>
        <s v="La La Land 199"/>
        <s v="The Menu 146"/>
        <s v="Zootopia 387"/>
        <s v="RRR 557"/>
        <s v="Jawan 402"/>
        <s v="Sita Ramam 475"/>
        <s v="Sita Ramam 125"/>
        <s v="Premam 166"/>
        <s v="Get Out 242"/>
        <s v="The Notebook 400"/>
        <s v="Drishyam 2"/>
        <s v="Manjummel Boys 509"/>
        <s v="La La Land 149"/>
        <s v="Inception 368"/>
        <s v="Ustad Hotel 328"/>
        <s v="A Quiet Place 493"/>
        <s v="Forrest Gump 130"/>
        <s v="Interstellar 567"/>
        <s v="The Conjuring 491"/>
        <s v="John Wick 4 290"/>
        <s v="Avengers: Endgame 582"/>
        <s v="Inside Out 486"/>
        <s v="RRR 407"/>
        <s v="Avengers: Endgame 382"/>
        <s v="Avengers: Endgame 332"/>
        <s v="RRR 507"/>
        <s v="Inside Out 86"/>
        <s v="Drishyam 2 204"/>
        <s v="Jawan 102"/>
        <s v="Sita Ramam 175"/>
        <s v="RRR 57"/>
        <s v="Dune: Part Two 55"/>
        <s v="Drishyam 2 504"/>
        <s v="Pathaan 63"/>
        <s v="Top Gun: Maverick 289"/>
        <s v="Ustad Hotel 378"/>
        <s v="KGF Chapter 2 74"/>
        <s v="Glass Onion 545"/>
        <s v="Inception 118"/>
        <s v="Premam"/>
        <s v="Barbie 362"/>
        <s v="Sita Ramam 75"/>
        <s v="Dangal"/>
        <s v="Kumbalangi Nights 215"/>
        <s v="Glass Onion 445"/>
        <s v="Forrest Gump 430"/>
        <s v="The Batman 510"/>
        <s v="Inception"/>
        <s v="A Quiet Place 193"/>
        <s v="Leo 151"/>
        <s v="Bahubali 2 373"/>
        <s v="Avengers: Endgame"/>
        <s v="Drishyam 2 104"/>
        <s v="Top Gun: Maverick 139"/>
        <s v="Jigarthanda DoubleX 226"/>
        <s v="Barbie 112"/>
        <s v="12th Fail"/>
        <s v="The Dark Knight 79"/>
        <s v="Forrest Gump 380"/>
        <s v="Get Out 542"/>
        <s v="Knives Out 344"/>
        <s v="Premam 366"/>
        <s v="Toy Story 4 84"/>
        <s v="Coco 285"/>
        <s v="Jigarthanda DoubleX 76"/>
        <s v="Premalu 503"/>
        <s v="Premalu"/>
        <s v="12th Fail 408"/>
        <s v="La La Land 299"/>
        <s v="Forrest Gump 80"/>
        <s v="Train to Busan 270"/>
        <s v="Manjummel Boys 209"/>
        <s v="Get Out 342"/>
        <s v="Parasite 219"/>
        <s v="Frozen II 488"/>
        <s v="Train to Busan 470"/>
        <s v="The Conjuring 441"/>
        <s v="Shutter Island 198"/>
        <s v="Coco 485"/>
        <s v="Knives Out 494"/>
        <s v="John Wick 4 140"/>
        <s v="Inception 168"/>
        <s v="Dune: Part Two 355"/>
        <s v="Drishyam 2 404"/>
        <s v="The Menu 396"/>
        <s v="Bahubali 2 573"/>
        <s v="The Dark Knight 279"/>
        <s v="Forrest Gump 480"/>
        <s v="Leo 101"/>
        <s v="Kantara 306"/>
        <s v="Glass Onion 595"/>
        <s v="Oppenheimer 311"/>
        <s v="Dangal 572"/>
        <s v="Dangal 322"/>
        <s v="Parasite 269"/>
        <s v="Interstellar 467"/>
        <s v="The Notebook 600"/>
        <s v="Dune: Part Two 155"/>
        <s v="Avengers: Endgame 132"/>
        <s v="The Shawshank Redemption 231"/>
        <s v="Sita Ramam 375"/>
        <s v="3 Idiots 271"/>
        <s v="Kumbalangi Nights 115"/>
        <s v="Premalu 403"/>
        <s v="Inception 218"/>
        <s v="The Menu 596"/>
        <s v="Frozen II 288"/>
        <s v="The Conjuring 91"/>
        <s v="Oppenheimer 211"/>
        <s v="Bangalore Days 227"/>
        <s v="Toy Story 4 584"/>
        <s v="Zootopia 237"/>
        <s v="Gone Girl 397"/>
        <s v="12th Fail 358"/>
        <s v="Leo 351"/>
        <s v="The Notebook 300"/>
        <s v="Jawan 152"/>
        <s v="Leo 501"/>
        <s v="Kumbalangi Nights 365"/>
        <s v="Glass Onion 95"/>
        <s v="Kantara 356"/>
        <s v="Avengers: Endgame 482"/>
        <s v="Glass Onion 345"/>
        <s v="Kumbalangi Nights 565"/>
        <s v="Vikram 264"/>
        <s v="The Batman 260"/>
        <s v="KGF Chapter 2 574"/>
        <s v="The Batman 560"/>
        <s v="The Menu 446"/>
        <s v="Bangalore Days 377"/>
        <s v="Leo 251"/>
        <s v="Parasite 119"/>
        <s v="Zootopia"/>
        <s v="Coco 335"/>
        <s v="Frozen II 538"/>
        <s v="Pathaan 463"/>
        <s v="A Quiet Place 593"/>
        <s v="Leo"/>
        <s v="Get Out"/>
        <s v="Coco"/>
        <s v="Glass Onion 145"/>
        <s v="Bangalore Days 577"/>
        <s v="Parasite 69"/>
        <s v="Forrest Gump 330"/>
        <s v="Dune: Part Two 455"/>
        <s v="Frozen II 338"/>
        <s v="Premalu 553"/>
        <s v="Frozen II 238"/>
        <s v="John Wick 4 190"/>
        <s v="Get Out 492"/>
        <s v="Coco 585"/>
        <s v="The Notebook 550"/>
        <s v="12th Fail 258"/>
        <s v="Shutter Island 298"/>
        <s v="Knives Out 194"/>
        <s v="Manjummel Boys 409"/>
        <s v="La La Land 349"/>
        <s v="Top Gun: Maverick"/>
        <s v="Shutter Island 498"/>
        <s v="12th Fail 108"/>
        <s v="Inside Out 286"/>
        <s v="Avengers: Endgame 82"/>
        <s v="Jigarthanda DoubleX 126"/>
        <s v="3 Idiots 471"/>
        <s v="3 Idiots 421"/>
        <s v="Toy Story 4 184"/>
        <s v="Gone Girl 247"/>
        <s v="Kantara 206"/>
        <s v="Inception 268"/>
        <s v="The Notebook"/>
        <s v="Zootopia 537"/>
        <s v="Zootopia 587"/>
        <s v="John Wick 4 540"/>
        <s v="Inception 68"/>
        <s v="Manjummel Boys 559"/>
        <s v="The Menu 346"/>
        <s v="The Shawshank Redemption 331"/>
        <s v="A Quiet Place 343"/>
        <s v="Barbie 162"/>
        <s v="Jawan"/>
        <s v="12th Fail 308"/>
        <s v="Vikram 514"/>
        <s v="Ustad Hotel 228"/>
        <s v="12th Fail 508"/>
        <s v="Top Gun: Maverick 589"/>
        <s v="Premalu 353"/>
        <s v="The Menu 296"/>
        <s v="The Shawshank Redemption 531"/>
        <s v="Kantara"/>
        <s v="Drishyam 2 304"/>
        <s v="RRR 207"/>
        <s v="3 Idiots 221"/>
        <s v="Drishyam 2 154"/>
        <s v="Kumbalangi Nights 65"/>
        <s v="Avengers: Endgame 282"/>
        <s v="Coco 435"/>
        <s v="Manjummel Boys"/>
        <s v="Toy Story 4"/>
        <s v="Dangal 122"/>
        <s v="Bahubali 2 323"/>
        <s v="Oppenheimer 511"/>
        <s v="Avengers: Endgame 182"/>
        <s v="The Batman 410"/>
        <s v="Vikram 64"/>
        <s v="Pathaan 113"/>
        <s v="Oppenheimer 161"/>
        <s v="Gone Girl 597"/>
        <s v="Interstellar 417"/>
        <s v="Zootopia 287"/>
        <s v="Top Gun: Maverick 389"/>
        <s v="Toy Story 4 484"/>
        <s v="Inside Out 236"/>
        <s v="Jigarthanda DoubleX 326"/>
        <s v="Toy Story 4 134"/>
        <s v="Coco 385"/>
        <s v="Kumbalangi Nights 465"/>
        <s v="Frozen II 138"/>
        <s v="The Dark Knight"/>
        <s v="Parasite 469"/>
        <s v="Dangal 272"/>
        <s v="The Conjuring 241"/>
        <s v="Jigarthanda DoubleX 476"/>
        <s v="La La Land 249"/>
        <s v="Get Out 292"/>
        <s v="The Shawshank Redemption 81"/>
        <s v="The Batman 310"/>
        <s v="Oppenheimer 561"/>
        <s v="Spider-Man: No Way Home 483"/>
        <s v="Leo 51"/>
        <s v="Sita Ramam 275"/>
        <s v="Zootopia 487"/>
        <s v="Coco 185"/>
        <s v="Premam 316"/>
        <s v="Top Gun: Maverick 239"/>
        <s v="Dune: Part Two 305"/>
        <s v="Bahubali 2 123"/>
        <s v="Toy Story 4 234"/>
        <s v="Drishyam 2 254"/>
        <s v="The Dark Knight 429"/>
        <s v="Shutter Island 448"/>
        <s v="Premalu 203"/>
        <s v="Barbie 512"/>
        <s v="Train to Busan 420"/>
        <s v="3 Idiots 121"/>
        <s v="Parasite 369"/>
        <s v="La La Land"/>
        <s v="12th Fail 208"/>
      </sharedItems>
    </cacheField>
    <cacheField name="movie category" numFmtId="0">
      <sharedItems/>
    </cacheField>
    <cacheField name="Language" numFmtId="0">
      <sharedItems count="10">
        <s v="English"/>
        <s v="Tamil"/>
        <s v="Korean"/>
        <s v="Hindi"/>
        <s v="Telugu"/>
        <s v="Kannada"/>
        <s v="Malayalam"/>
        <s v="Japanese"/>
        <s v="French"/>
        <s v="Spanish"/>
      </sharedItems>
    </cacheField>
    <cacheField name="Platform" numFmtId="0">
      <sharedItems count="10">
        <s v="Peacock"/>
        <s v="HBO Max"/>
        <s v="Netflix"/>
        <s v="Paramount+"/>
        <s v="Amazon Prime"/>
        <s v="Disney+"/>
        <s v="Lionsgate+"/>
        <s v="SonyLIV"/>
        <s v="Apple TV+"/>
        <s v="Hulu"/>
      </sharedItems>
    </cacheField>
    <cacheField name="Release Year" numFmtId="14">
      <sharedItems containsSemiMixedTypes="0" containsNonDate="0" containsDate="1" containsString="0" minDate="1905-07-07T00:00:00" maxDate="1905-07-18T00:00:00" count="11">
        <d v="1905-07-10T00:00:00"/>
        <d v="1905-07-07T00:00:00"/>
        <d v="1905-07-12T00:00:00"/>
        <d v="1905-07-17T00:00:00"/>
        <d v="1905-07-09T00:00:00"/>
        <d v="1905-07-11T00:00:00"/>
        <d v="1905-07-08T00:00:00"/>
        <d v="1905-07-14T00:00:00"/>
        <d v="1905-07-16T00:00:00"/>
        <d v="1905-07-15T00:00:00"/>
        <d v="1905-07-13T00:00:00"/>
      </sharedItems>
    </cacheField>
    <cacheField name="Release Month" numFmtId="0">
      <sharedItems/>
    </cacheField>
    <cacheField name="Duration (min)" numFmtId="0">
      <sharedItems containsSemiMixedTypes="0" containsString="0" containsNumber="1" containsInteger="1" minValue="85" maxValue="190"/>
    </cacheField>
    <cacheField name="IMDb Rating" numFmtId="0">
      <sharedItems containsSemiMixedTypes="0" containsString="0" containsNumber="1" minValue="4.5" maxValue="9.3000000000000007"/>
    </cacheField>
    <cacheField name="Votes" numFmtId="0">
      <sharedItems containsSemiMixedTypes="0" containsString="0" containsNumber="1" containsInteger="1" minValue="1516" maxValue="949954" count="589">
        <n v="59570"/>
        <n v="50046"/>
        <n v="48801"/>
        <n v="124852"/>
        <n v="406585"/>
        <n v="907888"/>
        <n v="184440"/>
        <n v="754052"/>
        <n v="275299"/>
        <n v="174974"/>
        <n v="560869"/>
        <n v="505723"/>
        <n v="599184"/>
        <n v="495112"/>
        <n v="562452"/>
        <n v="875994"/>
        <n v="918119"/>
        <n v="350272"/>
        <n v="814394"/>
        <n v="222942"/>
        <n v="679894"/>
        <n v="377015"/>
        <n v="662559"/>
        <n v="159277"/>
        <n v="325353"/>
        <n v="230874"/>
        <n v="190230"/>
        <n v="933788"/>
        <n v="89298"/>
        <n v="196492"/>
        <n v="579055"/>
        <n v="731116"/>
        <n v="612811"/>
        <n v="717551"/>
        <n v="537361"/>
        <n v="408688"/>
        <n v="410186"/>
        <n v="378517"/>
        <n v="324041"/>
        <n v="746452"/>
        <n v="568450"/>
        <n v="122331"/>
        <n v="237658"/>
        <n v="484307"/>
        <n v="664728"/>
        <n v="358156"/>
        <n v="326645"/>
        <n v="251675"/>
        <n v="605001"/>
        <n v="137857"/>
        <n v="591682"/>
        <n v="178515"/>
        <n v="912746"/>
        <n v="356832"/>
        <n v="586797"/>
        <n v="802634"/>
        <n v="377501"/>
        <n v="316579"/>
        <n v="667844"/>
        <n v="309134"/>
        <n v="426550"/>
        <n v="937415"/>
        <n v="800777"/>
        <n v="117119"/>
        <n v="904881"/>
        <n v="570865"/>
        <n v="212183"/>
        <n v="877366"/>
        <n v="613486"/>
        <n v="144685"/>
        <n v="608416"/>
        <n v="416773"/>
        <n v="709883"/>
        <n v="811959"/>
        <n v="582436"/>
        <n v="523107"/>
        <n v="184368"/>
        <n v="48845"/>
        <n v="730800"/>
        <n v="653744"/>
        <n v="480901"/>
        <n v="464098"/>
        <n v="523469"/>
        <n v="713945"/>
        <n v="427711"/>
        <n v="744447"/>
        <n v="513373"/>
        <n v="904142"/>
        <n v="422979"/>
        <n v="168466"/>
        <n v="290888"/>
        <n v="654912"/>
        <n v="158608"/>
        <n v="755340"/>
        <n v="727290"/>
        <n v="501096"/>
        <n v="258524"/>
        <n v="294218"/>
        <n v="198164"/>
        <n v="635963"/>
        <n v="929222"/>
        <n v="713326"/>
        <n v="871717"/>
        <n v="866614"/>
        <n v="246336"/>
        <n v="70265"/>
        <n v="434032"/>
        <n v="175218"/>
        <n v="32557"/>
        <n v="523155"/>
        <n v="604527"/>
        <n v="896914"/>
        <n v="435892"/>
        <n v="808078"/>
        <n v="747290"/>
        <n v="949591"/>
        <n v="708224"/>
        <n v="381011"/>
        <n v="743363"/>
        <n v="65254"/>
        <n v="139690"/>
        <n v="181416"/>
        <n v="773410"/>
        <n v="407180"/>
        <n v="494246"/>
        <n v="258466"/>
        <n v="813567"/>
        <n v="297805"/>
        <n v="466271"/>
        <n v="341798"/>
        <n v="439355"/>
        <n v="604667"/>
        <n v="811952"/>
        <n v="62575"/>
        <n v="567492"/>
        <n v="599998"/>
        <n v="408452"/>
        <n v="429868"/>
        <n v="139194"/>
        <n v="370238"/>
        <n v="119644"/>
        <n v="893544"/>
        <n v="822073"/>
        <n v="727957"/>
        <n v="305504"/>
        <n v="404180"/>
        <n v="110293"/>
        <n v="880903"/>
        <n v="191472"/>
        <n v="450979"/>
        <n v="440838"/>
        <n v="164368"/>
        <n v="581941"/>
        <n v="100607"/>
        <n v="533825"/>
        <n v="635592"/>
        <n v="589437"/>
        <n v="26790"/>
        <n v="831081"/>
        <n v="384166"/>
        <n v="893940"/>
        <n v="446240"/>
        <n v="453048"/>
        <n v="513062"/>
        <n v="728156"/>
        <n v="729331"/>
        <n v="4683"/>
        <n v="96474"/>
        <n v="740608"/>
        <n v="580377"/>
        <n v="176445"/>
        <n v="765405"/>
        <n v="151131"/>
        <n v="187943"/>
        <n v="145931"/>
        <n v="292573"/>
        <n v="840864"/>
        <n v="531099"/>
        <n v="707157"/>
        <n v="436610"/>
        <n v="40357"/>
        <n v="507783"/>
        <n v="286759"/>
        <n v="146995"/>
        <n v="124261"/>
        <n v="90656"/>
        <n v="265542"/>
        <n v="434953"/>
        <n v="669307"/>
        <n v="788847"/>
        <n v="817576"/>
        <n v="392877"/>
        <n v="414096"/>
        <n v="725048"/>
        <n v="820034"/>
        <n v="685407"/>
        <n v="188014"/>
        <n v="656195"/>
        <n v="387051"/>
        <n v="675992"/>
        <n v="268529"/>
        <n v="471680"/>
        <n v="138735"/>
        <n v="23907"/>
        <n v="773522"/>
        <n v="146693"/>
        <n v="922952"/>
        <n v="329919"/>
        <n v="235937"/>
        <n v="847109"/>
        <n v="664800"/>
        <n v="386828"/>
        <n v="310634"/>
        <n v="283200"/>
        <n v="74632"/>
        <n v="857160"/>
        <n v="2987"/>
        <n v="433807"/>
        <n v="195841"/>
        <n v="817156"/>
        <n v="421200"/>
        <n v="213198"/>
        <n v="315722"/>
        <n v="653766"/>
        <n v="314535"/>
        <n v="242834"/>
        <n v="863076"/>
        <n v="803248"/>
        <n v="643803"/>
        <n v="57905"/>
        <n v="773539"/>
        <n v="89174"/>
        <n v="66696"/>
        <n v="148520"/>
        <n v="608584"/>
        <n v="331670"/>
        <n v="813417"/>
        <n v="226972"/>
        <n v="120270"/>
        <n v="729005"/>
        <n v="322509"/>
        <n v="402477"/>
        <n v="683335"/>
        <n v="885569"/>
        <n v="299184"/>
        <n v="844330"/>
        <n v="131609"/>
        <n v="513111"/>
        <n v="799668"/>
        <n v="923155"/>
        <n v="439339"/>
        <n v="687940"/>
        <n v="181741"/>
        <n v="472378"/>
        <n v="477719"/>
        <n v="419173"/>
        <n v="320815"/>
        <n v="68879"/>
        <n v="139541"/>
        <n v="936190"/>
        <n v="474269"/>
        <n v="692001"/>
        <n v="346458"/>
        <n v="908365"/>
        <n v="395122"/>
        <n v="216197"/>
        <n v="813564"/>
        <n v="887782"/>
        <n v="222459"/>
        <n v="5302"/>
        <n v="452374"/>
        <n v="27491"/>
        <n v="525003"/>
        <n v="167544"/>
        <n v="9686"/>
        <n v="842163"/>
        <n v="791862"/>
        <n v="6347"/>
        <n v="729249"/>
        <n v="911001"/>
        <n v="798530"/>
        <n v="949954"/>
        <n v="833778"/>
        <n v="881564"/>
        <n v="53897"/>
        <n v="415612"/>
        <n v="526400"/>
        <n v="624066"/>
        <n v="10951"/>
        <n v="887750"/>
        <n v="361349"/>
        <n v="179594"/>
        <n v="899601"/>
        <n v="403033"/>
        <n v="353418"/>
        <n v="860759"/>
        <n v="163616"/>
        <n v="516407"/>
        <n v="162421"/>
        <n v="479164"/>
        <n v="130398"/>
        <n v="871006"/>
        <n v="395459"/>
        <n v="835594"/>
        <n v="826020"/>
        <n v="901582"/>
        <n v="933366"/>
        <n v="783009"/>
        <n v="478250"/>
        <n v="889936"/>
        <n v="326298"/>
        <n v="9056"/>
        <n v="202024"/>
        <n v="380132"/>
        <n v="317669"/>
        <n v="751781"/>
        <n v="313253"/>
        <n v="245947"/>
        <n v="667075"/>
        <n v="749101"/>
        <n v="500197"/>
        <n v="792445"/>
        <n v="690424"/>
        <n v="219179"/>
        <n v="367146"/>
        <n v="74959"/>
        <n v="915136"/>
        <n v="464313"/>
        <n v="424189"/>
        <n v="607821"/>
        <n v="776839"/>
        <n v="911234"/>
        <n v="510790"/>
        <n v="369838"/>
        <n v="594097"/>
        <n v="392594"/>
        <n v="834435"/>
        <n v="698029"/>
        <n v="709241"/>
        <n v="639837"/>
        <n v="929125"/>
        <n v="721226"/>
        <n v="98674"/>
        <n v="260896"/>
        <n v="169972"/>
        <n v="930001"/>
        <n v="793253"/>
        <n v="296348"/>
        <n v="544903"/>
        <n v="18775"/>
        <n v="545732"/>
        <n v="576851"/>
        <n v="73733"/>
        <n v="481219"/>
        <n v="592373"/>
        <n v="494878"/>
        <n v="576010"/>
        <n v="485752"/>
        <n v="490291"/>
        <n v="706596"/>
        <n v="315277"/>
        <n v="842614"/>
        <n v="613254"/>
        <n v="778903"/>
        <n v="398116"/>
        <n v="926219"/>
        <n v="209422"/>
        <n v="476547"/>
        <n v="328504"/>
        <n v="216225"/>
        <n v="733209"/>
        <n v="146384"/>
        <n v="422860"/>
        <n v="302899"/>
        <n v="542248"/>
        <n v="495958"/>
        <n v="644312"/>
        <n v="704750"/>
        <n v="436486"/>
        <n v="432868"/>
        <n v="787125"/>
        <n v="848072"/>
        <n v="456201"/>
        <n v="237374"/>
        <n v="582342"/>
        <n v="10860"/>
        <n v="47172"/>
        <n v="201081"/>
        <n v="62406"/>
        <n v="569332"/>
        <n v="853847"/>
        <n v="782832"/>
        <n v="915893"/>
        <n v="338702"/>
        <n v="927407"/>
        <n v="503910"/>
        <n v="801964"/>
        <n v="46449"/>
        <n v="658724"/>
        <n v="381103"/>
        <n v="585591"/>
        <n v="30046"/>
        <n v="885322"/>
        <n v="366027"/>
        <n v="338558"/>
        <n v="617766"/>
        <n v="705800"/>
        <n v="55429"/>
        <n v="278170"/>
        <n v="409726"/>
        <n v="449912"/>
        <n v="53835"/>
        <n v="462894"/>
        <n v="549210"/>
        <n v="648536"/>
        <n v="739736"/>
        <n v="22193"/>
        <n v="872603"/>
        <n v="242038"/>
        <n v="105211"/>
        <n v="411196"/>
        <n v="269703"/>
        <n v="749631"/>
        <n v="180508"/>
        <n v="227187"/>
        <n v="806045"/>
        <n v="118483"/>
        <n v="108477"/>
        <n v="287686"/>
        <n v="761227"/>
        <n v="351705"/>
        <n v="527014"/>
        <n v="289620"/>
        <n v="921190"/>
        <n v="826527"/>
        <n v="808169"/>
        <n v="842035"/>
        <n v="142879"/>
        <n v="509106"/>
        <n v="468927"/>
        <n v="204910"/>
        <n v="632450"/>
        <n v="124938"/>
        <n v="363344"/>
        <n v="908655"/>
        <n v="381904"/>
        <n v="111590"/>
        <n v="604918"/>
        <n v="367175"/>
        <n v="791883"/>
        <n v="777564"/>
        <n v="591784"/>
        <n v="474840"/>
        <n v="630171"/>
        <n v="814005"/>
        <n v="394082"/>
        <n v="770095"/>
        <n v="376967"/>
        <n v="142807"/>
        <n v="247698"/>
        <n v="646719"/>
        <n v="618276"/>
        <n v="586053"/>
        <n v="652979"/>
        <n v="465278"/>
        <n v="117135"/>
        <n v="439970"/>
        <n v="108497"/>
        <n v="836541"/>
        <n v="415307"/>
        <n v="13826"/>
        <n v="681921"/>
        <n v="710891"/>
        <n v="389784"/>
        <n v="85291"/>
        <n v="84753"/>
        <n v="942489"/>
        <n v="910466"/>
        <n v="550668"/>
        <n v="572658"/>
        <n v="791670"/>
        <n v="700805"/>
        <n v="354287"/>
        <n v="727694"/>
        <n v="715719"/>
        <n v="442796"/>
        <n v="180879"/>
        <n v="549687"/>
        <n v="870793"/>
        <n v="673845"/>
        <n v="87486"/>
        <n v="542100"/>
        <n v="43941"/>
        <n v="146051"/>
        <n v="474812"/>
        <n v="375286"/>
        <n v="855579"/>
        <n v="424631"/>
        <n v="935915"/>
        <n v="232051"/>
        <n v="112802"/>
        <n v="435850"/>
        <n v="584435"/>
        <n v="183510"/>
        <n v="609651"/>
        <n v="549332"/>
        <n v="43810"/>
        <n v="680245"/>
        <n v="597096"/>
        <n v="227022"/>
        <n v="360170"/>
        <n v="800013"/>
        <n v="279737"/>
        <n v="206998"/>
        <n v="294171"/>
        <n v="95569"/>
        <n v="287378"/>
        <n v="45035"/>
        <n v="661258"/>
        <n v="9402"/>
        <n v="328922"/>
        <n v="471829"/>
        <n v="41894"/>
        <n v="490624"/>
        <n v="1516"/>
        <n v="630032"/>
        <n v="90847"/>
        <n v="34162"/>
        <n v="221056"/>
        <n v="884190"/>
        <n v="862522"/>
        <n v="543842"/>
        <n v="83660"/>
        <n v="676801"/>
        <n v="398500"/>
        <n v="402374"/>
        <n v="703612"/>
        <n v="436120"/>
        <n v="357499"/>
        <n v="403430"/>
        <n v="379852"/>
        <n v="433259"/>
        <n v="704669"/>
        <n v="721868"/>
        <n v="453486"/>
        <n v="3489"/>
        <n v="370212"/>
        <n v="338037"/>
        <n v="193155"/>
        <n v="133781"/>
        <n v="829078"/>
        <n v="760046"/>
        <n v="516153"/>
        <n v="567162"/>
        <n v="192555"/>
        <n v="937316"/>
        <n v="926381"/>
        <n v="668282"/>
        <n v="559824"/>
        <n v="537065"/>
        <n v="295887"/>
        <n v="516330"/>
        <n v="82975"/>
        <n v="190433"/>
        <n v="299716"/>
        <n v="40526"/>
        <n v="900904"/>
        <n v="626310"/>
        <n v="695247"/>
        <n v="452113"/>
        <n v="57974"/>
        <n v="475314"/>
        <n v="722211"/>
        <n v="415598"/>
        <n v="897331"/>
        <n v="102200"/>
        <n v="397705"/>
        <n v="325114"/>
        <n v="474009"/>
        <n v="748821"/>
        <n v="350436"/>
        <n v="937633"/>
        <n v="369411"/>
        <n v="454759"/>
        <n v="487354"/>
        <n v="92855"/>
        <n v="46394"/>
        <n v="557511"/>
        <n v="61518"/>
      </sharedItems>
    </cacheField>
    <cacheField name="Revenue (Million USD)" numFmtId="0">
      <sharedItems containsString="0" containsBlank="1" containsNumber="1" minValue="9.07" maxValue="1824.74"/>
    </cacheField>
    <cacheField name="Director" numFmtId="0">
      <sharedItems/>
    </cacheField>
    <cacheField name="Lead Actor" numFmtId="0">
      <sharedItems/>
    </cacheField>
    <cacheField name="Age Rating" numFmtId="0">
      <sharedItems count="7">
        <s v="PG-13"/>
        <s v="U/A"/>
        <s v="PG"/>
        <s v="15"/>
        <s v="R"/>
        <s v="18"/>
        <s v="U"/>
      </sharedItems>
    </cacheField>
  </cacheFields>
  <extLst>
    <ext xmlns:x14="http://schemas.microsoft.com/office/spreadsheetml/2009/9/main" uri="{725AE2AE-9491-48be-B2B4-4EB974FC3084}">
      <x14:pivotCacheDefinition pivotCacheId="20162472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KANANDA" refreshedDate="46262.856849999996" createdVersion="8" refreshedVersion="8" minRefreshableVersion="3" recordCount="588" xr:uid="{05FA3435-5875-457E-87BC-D64DF2D5C7CE}">
  <cacheSource type="worksheet">
    <worksheetSource ref="A2:O590" sheet="Table1"/>
  </cacheSource>
  <cacheFields count="15">
    <cacheField name="M0461" numFmtId="0">
      <sharedItems/>
    </cacheField>
    <cacheField name="Oppenheimer" numFmtId="0">
      <sharedItems/>
    </cacheField>
    <cacheField name="Drama" numFmtId="0">
      <sharedItems/>
    </cacheField>
    <cacheField name="English" numFmtId="0">
      <sharedItems/>
    </cacheField>
    <cacheField name="Peacock" numFmtId="0">
      <sharedItems/>
    </cacheField>
    <cacheField name="10-07-1905" numFmtId="14">
      <sharedItems containsSemiMixedTypes="0" containsNonDate="0" containsDate="1" containsString="0" minDate="1905-07-07T00:00:00" maxDate="1905-07-18T00:00:00"/>
    </cacheField>
    <cacheField name="AUGUST" numFmtId="0">
      <sharedItems/>
    </cacheField>
    <cacheField name="125" numFmtId="0">
      <sharedItems containsSemiMixedTypes="0" containsString="0" containsNumber="1" containsInteger="1" minValue="85" maxValue="190"/>
    </cacheField>
    <cacheField name="6.5" numFmtId="0">
      <sharedItems containsSemiMixedTypes="0" containsString="0" containsNumber="1" minValue="4.5" maxValue="9.3000000000000007"/>
    </cacheField>
    <cacheField name="59570" numFmtId="0">
      <sharedItems containsSemiMixedTypes="0" containsString="0" containsNumber="1" containsInteger="1" minValue="1516" maxValue="949954"/>
    </cacheField>
    <cacheField name="731.68" numFmtId="0">
      <sharedItems containsString="0" containsBlank="1" containsNumber="1" minValue="9.07" maxValue="1824.74"/>
    </cacheField>
    <cacheField name="Bong Joon Ho" numFmtId="0">
      <sharedItems/>
    </cacheField>
    <cacheField name="SURIYA" numFmtId="0">
      <sharedItems/>
    </cacheField>
    <cacheField name="PG-13" numFmtId="0">
      <sharedItems/>
    </cacheField>
    <cacheField name="Drama2"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9">
  <r>
    <s v="M0461"/>
    <x v="0"/>
    <s v="Drama"/>
    <x v="0"/>
    <x v="0"/>
    <x v="0"/>
    <s v="AUGUST"/>
    <n v="125"/>
    <n v="6.5"/>
    <x v="0"/>
    <n v="731.68"/>
    <s v="Bong Joon Ho"/>
    <s v="SURIYA"/>
    <x v="0"/>
  </r>
  <r>
    <s v="M0568"/>
    <x v="1"/>
    <s v="Sci-Fi"/>
    <x v="0"/>
    <x v="1"/>
    <x v="1"/>
    <s v="DECEMBER"/>
    <n v="113"/>
    <n v="7.2"/>
    <x v="1"/>
    <n v="256.37"/>
    <s v="Vetrimaaran"/>
    <s v="TOM HOLLAND"/>
    <x v="1"/>
  </r>
  <r>
    <s v="M0276"/>
    <x v="2"/>
    <s v="Action"/>
    <x v="1"/>
    <x v="2"/>
    <x v="2"/>
    <s v="DECEMBER"/>
    <n v="98"/>
    <n v="6.5"/>
    <x v="2"/>
    <n v="919.99"/>
    <s v="Rajkumar Hirani"/>
    <s v="ALIA BHATT"/>
    <x v="1"/>
  </r>
  <r>
    <s v="M0293"/>
    <x v="3"/>
    <s v="Horror"/>
    <x v="0"/>
    <x v="3"/>
    <x v="3"/>
    <s v="JULY"/>
    <n v="140"/>
    <n v="6.9"/>
    <x v="3"/>
    <n v="686.33"/>
    <s v="Alfonso Cuarón"/>
    <s v="LEONARDO DICAPRIO"/>
    <x v="2"/>
  </r>
  <r>
    <s v="M0120"/>
    <x v="4"/>
    <s v="Horror"/>
    <x v="2"/>
    <x v="2"/>
    <x v="4"/>
    <s v="AUGUST"/>
    <n v="151"/>
    <n v="6.5"/>
    <x v="4"/>
    <n v="363.18"/>
    <s v="Bong Joon Ho"/>
    <s v="SHAH RUKH KHAN"/>
    <x v="3"/>
  </r>
  <r>
    <s v="M0072"/>
    <x v="5"/>
    <s v="Thriller"/>
    <x v="3"/>
    <x v="0"/>
    <x v="5"/>
    <s v="JANUARY"/>
    <n v="157"/>
    <n v="7.4"/>
    <x v="5"/>
    <n v="996.22"/>
    <s v="Lijo Jose Pellissery"/>
    <s v="ROBERT DOWNEY JR."/>
    <x v="4"/>
  </r>
  <r>
    <s v="M0157"/>
    <x v="6"/>
    <s v="Crime"/>
    <x v="4"/>
    <x v="2"/>
    <x v="5"/>
    <s v="JANUARY"/>
    <n v="156"/>
    <n v="8.6999999999999993"/>
    <x v="6"/>
    <n v="575.89"/>
    <s v="Christopher Nolan"/>
    <s v="NANI"/>
    <x v="4"/>
  </r>
  <r>
    <s v="M0043"/>
    <x v="7"/>
    <s v="Horror"/>
    <x v="0"/>
    <x v="3"/>
    <x v="5"/>
    <s v="JUNE"/>
    <n v="106"/>
    <n v="5.7"/>
    <x v="7"/>
    <n v="191.2"/>
    <s v="Rajkumar Hirani"/>
    <s v="TOM HOLLAND"/>
    <x v="3"/>
  </r>
  <r>
    <s v="M0506"/>
    <x v="8"/>
    <s v="Crime"/>
    <x v="5"/>
    <x v="4"/>
    <x v="6"/>
    <s v="AUGUST"/>
    <n v="110"/>
    <n v="7.7"/>
    <x v="8"/>
    <n v="339.62"/>
    <s v="Denis Villeneuve"/>
    <s v="SURIYA"/>
    <x v="2"/>
  </r>
  <r>
    <s v="M0527"/>
    <x v="9"/>
    <s v="Romance"/>
    <x v="6"/>
    <x v="5"/>
    <x v="5"/>
    <s v="AUGUST"/>
    <n v="103"/>
    <n v="7"/>
    <x v="9"/>
    <n v="1298.31"/>
    <s v="Mani Ratnam"/>
    <s v="ROBERT DOWNEY JR."/>
    <x v="4"/>
  </r>
  <r>
    <s v="M0040"/>
    <x v="10"/>
    <s v="Action"/>
    <x v="0"/>
    <x v="6"/>
    <x v="7"/>
    <s v="MARCH"/>
    <n v="164"/>
    <n v="6.9"/>
    <x v="10"/>
    <n v="29.89"/>
    <s v="Rajkumar Hirani"/>
    <s v="SURIYA"/>
    <x v="4"/>
  </r>
  <r>
    <s v="M0414"/>
    <x v="11"/>
    <s v="Action"/>
    <x v="1"/>
    <x v="5"/>
    <x v="2"/>
    <s v="FEBRUARY"/>
    <n v="159"/>
    <n v="7.2"/>
    <x v="11"/>
    <n v="321.42"/>
    <s v="Mani Ratnam"/>
    <s v="CHRISTIAN BALE"/>
    <x v="3"/>
  </r>
  <r>
    <s v="M0111"/>
    <x v="12"/>
    <s v="Drama"/>
    <x v="0"/>
    <x v="0"/>
    <x v="4"/>
    <s v="MAY"/>
    <n v="139"/>
    <n v="7.1"/>
    <x v="12"/>
    <n v="553.01"/>
    <s v="Greta Gerwig"/>
    <s v="NANI"/>
    <x v="3"/>
  </r>
  <r>
    <s v="M0309"/>
    <x v="13"/>
    <s v="Adventure"/>
    <x v="6"/>
    <x v="5"/>
    <x v="3"/>
    <s v="MAY"/>
    <n v="95"/>
    <n v="7.4"/>
    <x v="13"/>
    <n v="421.76"/>
    <s v="Denis Villeneuve"/>
    <s v="VIJAY"/>
    <x v="4"/>
  </r>
  <r>
    <s v="M0243"/>
    <x v="14"/>
    <s v="Horror"/>
    <x v="0"/>
    <x v="4"/>
    <x v="6"/>
    <s v="OCTOBER"/>
    <n v="184"/>
    <n v="7.7"/>
    <x v="14"/>
    <n v="1471.82"/>
    <s v="Anurag Kashyap"/>
    <s v="ROBERT DOWNEY JR."/>
    <x v="3"/>
  </r>
  <r>
    <s v="M0170"/>
    <x v="15"/>
    <s v="Fantasy"/>
    <x v="3"/>
    <x v="2"/>
    <x v="8"/>
    <s v="APRIL"/>
    <n v="157"/>
    <n v="6.5"/>
    <x v="15"/>
    <n v="1134.78"/>
    <s v="Anurag Kashyap"/>
    <s v="VIJAY"/>
    <x v="3"/>
  </r>
  <r>
    <s v="M0312"/>
    <x v="16"/>
    <s v="Comedy"/>
    <x v="0"/>
    <x v="0"/>
    <x v="9"/>
    <s v="JULY"/>
    <n v="132"/>
    <n v="6.6"/>
    <x v="16"/>
    <n v="55.55"/>
    <s v="Alfonso Cuarón"/>
    <s v="ROBERT DOWNEY JR."/>
    <x v="2"/>
  </r>
  <r>
    <s v="M0392"/>
    <x v="17"/>
    <s v="Thriller"/>
    <x v="0"/>
    <x v="2"/>
    <x v="1"/>
    <s v="FEBRUARY"/>
    <n v="172"/>
    <n v="4.5"/>
    <x v="17"/>
    <n v="489.93"/>
    <s v="Zoya Akhtar"/>
    <s v="FAHADH FAASIL"/>
    <x v="2"/>
  </r>
  <r>
    <s v="M0327"/>
    <x v="18"/>
    <s v="Romance"/>
    <x v="6"/>
    <x v="5"/>
    <x v="9"/>
    <s v="JANUARY"/>
    <n v="149"/>
    <n v="6.3"/>
    <x v="18"/>
    <n v="332.99"/>
    <s v="Vetrimaaran"/>
    <s v="TOM HOLLAND"/>
    <x v="5"/>
  </r>
  <r>
    <s v="M0197"/>
    <x v="19"/>
    <s v="Crime"/>
    <x v="0"/>
    <x v="2"/>
    <x v="6"/>
    <s v="SEPTEMBER"/>
    <n v="135"/>
    <n v="7.4"/>
    <x v="19"/>
    <n v="369.48"/>
    <s v="Vetrimaaran"/>
    <s v="RYAN GOSLING"/>
    <x v="1"/>
  </r>
  <r>
    <s v="M0056"/>
    <x v="20"/>
    <s v="Mystery"/>
    <x v="5"/>
    <x v="0"/>
    <x v="6"/>
    <s v="SEPTEMBER"/>
    <n v="113"/>
    <n v="7.2"/>
    <x v="20"/>
    <n v="100.48"/>
    <s v="Rajkumar Hirani"/>
    <s v="LEONARDO DICAPRIO"/>
    <x v="4"/>
  </r>
  <r>
    <s v="M0533"/>
    <x v="21"/>
    <s v="Action"/>
    <x v="0"/>
    <x v="3"/>
    <x v="5"/>
    <s v="APRIL"/>
    <n v="111"/>
    <n v="4.5"/>
    <x v="21"/>
    <n v="703.75"/>
    <s v="Lokesh Kanagaraj"/>
    <s v="CHRISTIAN BALE"/>
    <x v="4"/>
  </r>
  <r>
    <s v="M0013"/>
    <x v="22"/>
    <s v="Action"/>
    <x v="3"/>
    <x v="4"/>
    <x v="9"/>
    <s v="APRIL"/>
    <n v="160"/>
    <n v="7.3"/>
    <x v="22"/>
    <n v="20.78"/>
    <s v="Zoya Akhtar"/>
    <s v="RAJINIKANTH"/>
    <x v="3"/>
  </r>
  <r>
    <s v="M0418"/>
    <x v="23"/>
    <s v="Sci-Fi"/>
    <x v="0"/>
    <x v="7"/>
    <x v="4"/>
    <s v="OCTOBER"/>
    <n v="179"/>
    <n v="7.3"/>
    <x v="23"/>
    <n v="542.32000000000005"/>
    <s v="S.S. Rajamouli"/>
    <s v="RANBIR KAPOOR"/>
    <x v="1"/>
  </r>
  <r>
    <s v="M0384"/>
    <x v="24"/>
    <s v="Animation"/>
    <x v="0"/>
    <x v="5"/>
    <x v="1"/>
    <s v="JULY"/>
    <n v="124"/>
    <n v="7"/>
    <x v="24"/>
    <n v="1325.22"/>
    <s v="Martin Scorsese"/>
    <s v="FAHADH FAASIL"/>
    <x v="1"/>
  </r>
  <r>
    <s v="M0423"/>
    <x v="25"/>
    <s v="Action"/>
    <x v="4"/>
    <x v="2"/>
    <x v="10"/>
    <s v="FEBRUARY"/>
    <n v="152"/>
    <n v="7.8"/>
    <x v="25"/>
    <n v="452.41"/>
    <s v="Christopher Nolan"/>
    <s v="MOHANLAL"/>
    <x v="3"/>
  </r>
  <r>
    <s v="M0515"/>
    <x v="26"/>
    <s v="Drama"/>
    <x v="6"/>
    <x v="2"/>
    <x v="4"/>
    <s v="FEBRUARY"/>
    <n v="129"/>
    <n v="8.5"/>
    <x v="26"/>
    <n v="1217.74"/>
    <s v="Denis Villeneuve"/>
    <s v="PRABHAS"/>
    <x v="6"/>
  </r>
  <r>
    <s v="M0354"/>
    <x v="27"/>
    <s v="Thriller"/>
    <x v="6"/>
    <x v="4"/>
    <x v="0"/>
    <s v="NOVEMBER"/>
    <n v="147"/>
    <n v="7.5"/>
    <x v="27"/>
    <n v="820.1"/>
    <s v="Vetrimaaran"/>
    <s v="RYAN GOSLING"/>
    <x v="4"/>
  </r>
  <r>
    <s v="M0505"/>
    <x v="28"/>
    <s v="Sci-Fi"/>
    <x v="0"/>
    <x v="1"/>
    <x v="3"/>
    <s v="OCTOBER"/>
    <n v="190"/>
    <n v="6.9"/>
    <x v="28"/>
    <n v="211.56"/>
    <s v="Zoya Akhtar"/>
    <s v="RANBIR KAPOOR"/>
    <x v="6"/>
  </r>
  <r>
    <s v="M0350"/>
    <x v="29"/>
    <s v="Romance"/>
    <x v="0"/>
    <x v="4"/>
    <x v="7"/>
    <s v="APRIL"/>
    <n v="157"/>
    <n v="6.7"/>
    <x v="29"/>
    <n v="406.17"/>
    <s v="S.S. Rajamouli"/>
    <s v="RYAN GOSLING"/>
    <x v="6"/>
  </r>
  <r>
    <s v="M0352"/>
    <x v="30"/>
    <s v="Action"/>
    <x v="2"/>
    <x v="2"/>
    <x v="3"/>
    <s v="AUGUST"/>
    <n v="183"/>
    <n v="6.3"/>
    <x v="30"/>
    <n v="108.47"/>
    <s v="Martin Scorsese"/>
    <s v="RAJINIKANTH"/>
    <x v="6"/>
  </r>
  <r>
    <s v="M0078"/>
    <x v="31"/>
    <s v="Drama"/>
    <x v="6"/>
    <x v="2"/>
    <x v="2"/>
    <s v="NOVEMBER"/>
    <n v="180"/>
    <n v="5.7"/>
    <x v="31"/>
    <n v="853.69"/>
    <s v="Lijo Jose Pellissery"/>
    <s v="SURIYA"/>
    <x v="4"/>
  </r>
  <r>
    <s v="M0447"/>
    <x v="32"/>
    <s v="Mystery"/>
    <x v="0"/>
    <x v="2"/>
    <x v="5"/>
    <s v="MARCH"/>
    <n v="175"/>
    <n v="6.3"/>
    <x v="32"/>
    <n v="30.97"/>
    <s v="Zoya Akhtar"/>
    <s v="DHANUSH"/>
    <x v="4"/>
  </r>
  <r>
    <s v="M0005"/>
    <x v="33"/>
    <s v="Sci-Fi"/>
    <x v="0"/>
    <x v="1"/>
    <x v="2"/>
    <s v="JUNE"/>
    <n v="111"/>
    <n v="6.6"/>
    <x v="33"/>
    <n v="794.22"/>
    <s v="Greta Gerwig"/>
    <s v="RANBIR KAPOOR"/>
    <x v="0"/>
  </r>
  <r>
    <s v="M0266"/>
    <x v="34"/>
    <s v="Romance"/>
    <x v="7"/>
    <x v="4"/>
    <x v="4"/>
    <s v="FEBRUARY"/>
    <n v="184"/>
    <n v="6.6"/>
    <x v="34"/>
    <n v="116.4"/>
    <s v="Martin Scorsese"/>
    <s v="RANBIR KAPOOR"/>
    <x v="2"/>
  </r>
  <r>
    <s v="M0594"/>
    <x v="35"/>
    <s v="Mystery"/>
    <x v="0"/>
    <x v="2"/>
    <x v="7"/>
    <s v="DECEMBER"/>
    <n v="93"/>
    <n v="7.8"/>
    <x v="35"/>
    <n v="1576.52"/>
    <s v="Zoya Akhtar"/>
    <s v="PRABHAS"/>
    <x v="0"/>
  </r>
  <r>
    <s v="M0017"/>
    <x v="36"/>
    <s v="Romance"/>
    <x v="0"/>
    <x v="2"/>
    <x v="0"/>
    <s v="JULY"/>
    <n v="92"/>
    <n v="7.2"/>
    <x v="36"/>
    <n v="410.23"/>
    <s v="S.S. Rajamouli"/>
    <s v="SURIYA"/>
    <x v="5"/>
  </r>
  <r>
    <s v="M0370"/>
    <x v="37"/>
    <s v="Horror"/>
    <x v="2"/>
    <x v="2"/>
    <x v="5"/>
    <s v="NOVEMBER"/>
    <n v="169"/>
    <n v="7.1"/>
    <x v="37"/>
    <n v="200.73"/>
    <s v="Jeethu Joseph"/>
    <s v="DHANUSH"/>
    <x v="5"/>
  </r>
  <r>
    <s v="M0173"/>
    <x v="38"/>
    <s v="Action"/>
    <x v="4"/>
    <x v="2"/>
    <x v="10"/>
    <s v="JUNE"/>
    <n v="131"/>
    <n v="7.3"/>
    <x v="38"/>
    <n v="662.63"/>
    <s v="Lokesh Kanagaraj"/>
    <s v="MOHANLAL"/>
    <x v="0"/>
  </r>
  <r>
    <s v="M0262"/>
    <x v="39"/>
    <s v="Romance"/>
    <x v="0"/>
    <x v="1"/>
    <x v="4"/>
    <s v="FEBRUARY"/>
    <n v="131"/>
    <n v="8.5"/>
    <x v="39"/>
    <n v="171.55"/>
    <s v="Alfonso Cuarón"/>
    <s v="RYAN GOSLING"/>
    <x v="6"/>
  </r>
  <r>
    <s v="M0374"/>
    <x v="40"/>
    <s v="Horror"/>
    <x v="5"/>
    <x v="4"/>
    <x v="3"/>
    <s v="MARCH"/>
    <n v="159"/>
    <n v="7.1"/>
    <x v="40"/>
    <n v="369.97"/>
    <s v="S.S. Rajamouli"/>
    <s v="CHRISTIAN BALE"/>
    <x v="0"/>
  </r>
  <r>
    <s v="M0267"/>
    <x v="41"/>
    <s v="Sci-Fi"/>
    <x v="0"/>
    <x v="2"/>
    <x v="5"/>
    <s v="JUNE"/>
    <n v="187"/>
    <n v="6.8"/>
    <x v="41"/>
    <n v="150.29"/>
    <s v="Christopher Nolan"/>
    <s v="VIJAY"/>
    <x v="2"/>
  </r>
  <r>
    <s v="M0490"/>
    <x v="42"/>
    <s v="Romance"/>
    <x v="0"/>
    <x v="6"/>
    <x v="8"/>
    <s v="JULY"/>
    <n v="187"/>
    <n v="7.2"/>
    <x v="42"/>
    <n v="1132.46"/>
    <s v="Denis Villeneuve"/>
    <s v="RAJINIKANTH"/>
    <x v="6"/>
  </r>
  <r>
    <s v="M0422"/>
    <x v="43"/>
    <s v="Horror"/>
    <x v="3"/>
    <x v="8"/>
    <x v="3"/>
    <s v="OCTOBER"/>
    <n v="135"/>
    <n v="8"/>
    <x v="43"/>
    <n v="1127.3599999999999"/>
    <s v="Greta Gerwig"/>
    <s v="RAJINIKANTH"/>
    <x v="2"/>
  </r>
  <r>
    <s v="M0090"/>
    <x v="44"/>
    <s v="Action"/>
    <x v="0"/>
    <x v="6"/>
    <x v="6"/>
    <s v="MARCH"/>
    <n v="179"/>
    <n v="6.5"/>
    <x v="44"/>
    <n v="343.8"/>
    <s v="Anurag Kashyap"/>
    <s v="SURIYA"/>
    <x v="2"/>
  </r>
  <r>
    <s v="M0570"/>
    <x v="45"/>
    <s v="Horror"/>
    <x v="2"/>
    <x v="2"/>
    <x v="6"/>
    <s v="AUGUST"/>
    <n v="115"/>
    <n v="7.8"/>
    <x v="45"/>
    <n v="1314.33"/>
    <s v="Rajkumar Hirani"/>
    <s v="SHAH RUKH KHAN"/>
    <x v="5"/>
  </r>
  <r>
    <s v="M0062"/>
    <x v="46"/>
    <s v="Comedy"/>
    <x v="0"/>
    <x v="1"/>
    <x v="0"/>
    <s v="DECEMBER"/>
    <n v="105"/>
    <n v="6.6"/>
    <x v="46"/>
    <n v="623.76"/>
    <s v="Jeethu Joseph"/>
    <s v="MAMMOOTTY"/>
    <x v="6"/>
  </r>
  <r>
    <s v="M0437"/>
    <x v="47"/>
    <s v="Animation"/>
    <x v="0"/>
    <x v="5"/>
    <x v="0"/>
    <s v="MARCH"/>
    <n v="166"/>
    <n v="7.1"/>
    <x v="47"/>
    <n v="1147.58"/>
    <s v="Denis Villeneuve"/>
    <s v="FAHADH FAASIL"/>
    <x v="3"/>
  </r>
  <r>
    <s v="M0014"/>
    <x v="48"/>
    <s v="Action"/>
    <x v="1"/>
    <x v="5"/>
    <x v="4"/>
    <s v="DECEMBER"/>
    <n v="158"/>
    <n v="7.5"/>
    <x v="48"/>
    <n v="722.11"/>
    <s v="Jeethu Joseph"/>
    <s v="MAMMOOTTY"/>
    <x v="5"/>
  </r>
  <r>
    <s v="M0217"/>
    <x v="49"/>
    <s v="Sci-Fi"/>
    <x v="0"/>
    <x v="2"/>
    <x v="10"/>
    <s v="FEBRUARY"/>
    <n v="160"/>
    <n v="6.5"/>
    <x v="49"/>
    <n v="154.75"/>
    <s v="Lijo Jose Pellissery"/>
    <s v="DHANUSH"/>
    <x v="2"/>
  </r>
  <r>
    <s v="M0169"/>
    <x v="50"/>
    <s v="Thriller"/>
    <x v="7"/>
    <x v="9"/>
    <x v="1"/>
    <s v="FEBRUARY"/>
    <n v="172"/>
    <n v="8.6"/>
    <x v="50"/>
    <n v="330.7"/>
    <s v="Christopher Nolan"/>
    <s v="PRABHAS"/>
    <x v="1"/>
  </r>
  <r>
    <s v="M0319"/>
    <x v="51"/>
    <s v="Thriller"/>
    <x v="8"/>
    <x v="9"/>
    <x v="1"/>
    <s v="OCTOBER"/>
    <n v="150"/>
    <n v="6.7"/>
    <x v="51"/>
    <n v="543.04999999999995"/>
    <s v="Lokesh Kanagaraj"/>
    <s v="MOHANLAL"/>
    <x v="4"/>
  </r>
  <r>
    <s v="M0066"/>
    <x v="52"/>
    <s v="Crime"/>
    <x v="9"/>
    <x v="5"/>
    <x v="9"/>
    <s v="OCTOBER"/>
    <n v="127"/>
    <n v="7.1"/>
    <x v="52"/>
    <n v="173.76"/>
    <s v="Greta Gerwig"/>
    <s v="SHAH RUKH KHAN"/>
    <x v="5"/>
  </r>
  <r>
    <s v="M0489"/>
    <x v="53"/>
    <s v="Action"/>
    <x v="0"/>
    <x v="3"/>
    <x v="0"/>
    <s v="JUNE"/>
    <n v="148"/>
    <n v="5.9"/>
    <x v="53"/>
    <n v="121.59"/>
    <s v="Jeethu Joseph"/>
    <s v="ROBERT DOWNEY JR."/>
    <x v="4"/>
  </r>
  <r>
    <s v="M0160"/>
    <x v="54"/>
    <s v="Action"/>
    <x v="0"/>
    <x v="1"/>
    <x v="8"/>
    <s v="DECEMBER"/>
    <n v="170"/>
    <n v="8.1999999999999993"/>
    <x v="54"/>
    <n v="122.78"/>
    <s v="S.S. Rajamouli"/>
    <s v="TOM HOLLAND"/>
    <x v="1"/>
  </r>
  <r>
    <s v="M0468"/>
    <x v="55"/>
    <s v="Sci-Fi"/>
    <x v="0"/>
    <x v="1"/>
    <x v="0"/>
    <s v="NOVEMBER"/>
    <n v="108"/>
    <n v="8.6"/>
    <x v="55"/>
    <n v="148.63999999999999"/>
    <s v="Zoya Akhtar"/>
    <s v="RAJINIKANTH"/>
    <x v="2"/>
  </r>
  <r>
    <s v="M0261"/>
    <x v="56"/>
    <s v="Drama"/>
    <x v="0"/>
    <x v="0"/>
    <x v="10"/>
    <s v="NOVEMBER"/>
    <n v="102"/>
    <n v="6.3"/>
    <x v="56"/>
    <n v="358.14"/>
    <s v="Christopher Nolan"/>
    <s v="RANBIR KAPOOR"/>
    <x v="5"/>
  </r>
  <r>
    <s v="M0110"/>
    <x v="57"/>
    <s v="Action"/>
    <x v="7"/>
    <x v="1"/>
    <x v="6"/>
    <s v="MAY"/>
    <n v="115"/>
    <n v="6.8"/>
    <x v="57"/>
    <n v="77.25"/>
    <s v="Rajkumar Hirani"/>
    <s v="MAMMOOTTY"/>
    <x v="3"/>
  </r>
  <r>
    <s v="M0581"/>
    <x v="58"/>
    <s v="Drama"/>
    <x v="1"/>
    <x v="1"/>
    <x v="10"/>
    <s v="DECEMBER"/>
    <n v="132"/>
    <n v="6.9"/>
    <x v="58"/>
    <n v="69.510000000000005"/>
    <s v="Zoya Akhtar"/>
    <s v="RYAN GOSLING"/>
    <x v="4"/>
  </r>
  <r>
    <s v="M0256"/>
    <x v="59"/>
    <s v="Drama"/>
    <x v="2"/>
    <x v="9"/>
    <x v="2"/>
    <s v="MAY"/>
    <n v="159"/>
    <n v="8.6"/>
    <x v="59"/>
    <n v="185.94"/>
    <s v="Zoya Akhtar"/>
    <s v="MOHANLAL"/>
    <x v="1"/>
  </r>
  <r>
    <s v="M0167"/>
    <x v="60"/>
    <s v="Sci-Fi"/>
    <x v="0"/>
    <x v="2"/>
    <x v="5"/>
    <s v="JUNE"/>
    <n v="119"/>
    <n v="7.3"/>
    <x v="60"/>
    <n v="281.41000000000003"/>
    <s v="S.S. Rajamouli"/>
    <s v="MOHANLAL"/>
    <x v="6"/>
  </r>
  <r>
    <s v="M0235"/>
    <x v="61"/>
    <s v="Animation"/>
    <x v="0"/>
    <x v="5"/>
    <x v="6"/>
    <s v="SEPTEMBER"/>
    <n v="96"/>
    <n v="6.1"/>
    <x v="61"/>
    <n v="122.65"/>
    <s v="Denis Villeneuve"/>
    <s v="SURIYA"/>
    <x v="6"/>
  </r>
  <r>
    <s v="M0255"/>
    <x v="62"/>
    <s v="Crime"/>
    <x v="6"/>
    <x v="1"/>
    <x v="7"/>
    <s v="MARCH"/>
    <n v="179"/>
    <n v="7.1"/>
    <x v="62"/>
    <n v="1631.28"/>
    <s v="Martin Scorsese"/>
    <s v="MOHANLAL"/>
    <x v="2"/>
  </r>
  <r>
    <s v="M0535"/>
    <x v="63"/>
    <s v="Fantasy"/>
    <x v="7"/>
    <x v="5"/>
    <x v="1"/>
    <s v="AUGUST"/>
    <n v="187"/>
    <n v="5.8"/>
    <x v="63"/>
    <n v="1471.35"/>
    <s v="Zoya Akhtar"/>
    <s v="RYAN GOSLING"/>
    <x v="3"/>
  </r>
  <r>
    <s v="M0444"/>
    <x v="64"/>
    <s v="Mystery"/>
    <x v="0"/>
    <x v="2"/>
    <x v="10"/>
    <s v="SEPTEMBER"/>
    <n v="147"/>
    <n v="7.1"/>
    <x v="64"/>
    <n v="1185.75"/>
    <s v="S.S. Rajamouli"/>
    <s v="TOM HOLLAND"/>
    <x v="5"/>
  </r>
  <r>
    <s v="M0224"/>
    <x v="65"/>
    <s v="Action"/>
    <x v="5"/>
    <x v="6"/>
    <x v="0"/>
    <s v="NOVEMBER"/>
    <n v="187"/>
    <n v="7.4"/>
    <x v="65"/>
    <n v="1479.26"/>
    <s v="Mani Ratnam"/>
    <s v="RYAN GOSLING"/>
    <x v="2"/>
  </r>
  <r>
    <s v="M0114"/>
    <x v="66"/>
    <s v="Action"/>
    <x v="1"/>
    <x v="5"/>
    <x v="7"/>
    <s v="JANUARY"/>
    <n v="122"/>
    <n v="6.8"/>
    <x v="66"/>
    <n v="27.47"/>
    <s v="Vetrimaaran"/>
    <s v="DULQUER SALMAAN"/>
    <x v="0"/>
  </r>
  <r>
    <s v="M0058"/>
    <x v="67"/>
    <s v="Fantasy"/>
    <x v="3"/>
    <x v="5"/>
    <x v="6"/>
    <s v="APRIL"/>
    <n v="171"/>
    <n v="7.3"/>
    <x v="67"/>
    <n v="1019.69"/>
    <s v="Alfonso Cuarón"/>
    <s v="ALIA BHATT"/>
    <x v="6"/>
  </r>
  <r>
    <s v="M0546"/>
    <x v="68"/>
    <s v="Thriller"/>
    <x v="0"/>
    <x v="1"/>
    <x v="9"/>
    <s v="JULY"/>
    <n v="118"/>
    <n v="7.8"/>
    <x v="68"/>
    <n v="457.2"/>
    <s v="Bong Joon Ho"/>
    <s v="ROBERT DOWNEY JR."/>
    <x v="4"/>
  </r>
  <r>
    <s v="M0412"/>
    <x v="69"/>
    <s v="Comedy"/>
    <x v="0"/>
    <x v="1"/>
    <x v="10"/>
    <s v="MARCH"/>
    <n v="95"/>
    <n v="8.3000000000000007"/>
    <x v="69"/>
    <n v="578.39"/>
    <s v="Lijo Jose Pellissery"/>
    <s v="SURIYA"/>
    <x v="1"/>
  </r>
  <r>
    <s v="M0097"/>
    <x v="70"/>
    <s v="Mystery"/>
    <x v="0"/>
    <x v="4"/>
    <x v="4"/>
    <s v="NOVEMBER"/>
    <n v="148"/>
    <n v="6.3"/>
    <x v="70"/>
    <n v="792.38"/>
    <s v="Zoya Akhtar"/>
    <s v="RAJINIKANTH"/>
    <x v="0"/>
  </r>
  <r>
    <s v="M0171"/>
    <x v="71"/>
    <s v="Horror"/>
    <x v="3"/>
    <x v="2"/>
    <x v="6"/>
    <s v="JUNE"/>
    <n v="162"/>
    <n v="7.4"/>
    <x v="71"/>
    <n v="723.65"/>
    <s v="Alfonso Cuarón"/>
    <s v="SHAH RUKH KHAN"/>
    <x v="1"/>
  </r>
  <r>
    <s v="M0195"/>
    <x v="72"/>
    <s v="Mystery"/>
    <x v="0"/>
    <x v="2"/>
    <x v="4"/>
    <s v="DECEMBER"/>
    <n v="126"/>
    <n v="7.8"/>
    <x v="72"/>
    <n v="174.19"/>
    <s v="Martin Scorsese"/>
    <s v="SURIYA"/>
    <x v="0"/>
  </r>
  <r>
    <s v="M0291"/>
    <x v="73"/>
    <s v="Horror"/>
    <x v="0"/>
    <x v="6"/>
    <x v="9"/>
    <s v="JANUARY"/>
    <n v="165"/>
    <n v="8.1999999999999993"/>
    <x v="73"/>
    <n v="295.87"/>
    <s v="Jeethu Joseph"/>
    <s v="RYAN GOSLING"/>
    <x v="5"/>
  </r>
  <r>
    <s v="M0578"/>
    <x v="74"/>
    <s v="Drama"/>
    <x v="0"/>
    <x v="2"/>
    <x v="6"/>
    <s v="JUNE"/>
    <n v="88"/>
    <n v="6.7"/>
    <x v="74"/>
    <n v="83.97"/>
    <s v="Martin Scorsese"/>
    <s v="NANI"/>
    <x v="6"/>
  </r>
  <r>
    <s v="M0516"/>
    <x v="75"/>
    <s v="Romance"/>
    <x v="6"/>
    <x v="4"/>
    <x v="6"/>
    <s v="APRIL"/>
    <n v="183"/>
    <n v="8"/>
    <x v="75"/>
    <n v="1145.83"/>
    <s v="S.S. Rajamouli"/>
    <s v="MAMMOOTTY"/>
    <x v="2"/>
  </r>
  <r>
    <s v="M0143"/>
    <x v="76"/>
    <s v="Horror"/>
    <x v="0"/>
    <x v="7"/>
    <x v="0"/>
    <s v="SEPTEMBER"/>
    <n v="179"/>
    <n v="6.9"/>
    <x v="76"/>
    <n v="677.36"/>
    <s v="Zoya Akhtar"/>
    <s v="DHANUSH"/>
    <x v="1"/>
  </r>
  <r>
    <s v="M0551"/>
    <x v="77"/>
    <s v="Drama"/>
    <x v="1"/>
    <x v="2"/>
    <x v="10"/>
    <s v="JULY"/>
    <n v="114"/>
    <n v="7.8"/>
    <x v="77"/>
    <n v="1620.48"/>
    <s v="Martin Scorsese"/>
    <s v="MOHANLAL"/>
    <x v="5"/>
  </r>
  <r>
    <s v="M0245"/>
    <x v="78"/>
    <s v="Mystery"/>
    <x v="0"/>
    <x v="2"/>
    <x v="2"/>
    <s v="MAY"/>
    <n v="124"/>
    <n v="7"/>
    <x v="78"/>
    <n v="1257.1300000000001"/>
    <s v="Lokesh Kanagaraj"/>
    <s v="DULQUER SALMAAN"/>
    <x v="4"/>
  </r>
  <r>
    <s v="M0530"/>
    <x v="79"/>
    <s v="Drama"/>
    <x v="0"/>
    <x v="0"/>
    <x v="7"/>
    <s v="FEBRUARY"/>
    <n v="148"/>
    <n v="6.5"/>
    <x v="79"/>
    <m/>
    <s v="Christopher Nolan"/>
    <s v="FAHADH FAASIL"/>
    <x v="5"/>
  </r>
  <r>
    <s v="M0187"/>
    <x v="80"/>
    <s v="Adventure"/>
    <x v="5"/>
    <x v="5"/>
    <x v="8"/>
    <s v="JULY"/>
    <n v="160"/>
    <n v="7.7"/>
    <x v="80"/>
    <n v="969.75"/>
    <s v="Lijo Jose Pellissery"/>
    <s v="MOHANLAL"/>
    <x v="2"/>
  </r>
  <r>
    <s v="M0024"/>
    <x v="81"/>
    <s v="Action"/>
    <x v="5"/>
    <x v="4"/>
    <x v="5"/>
    <s v="MARCH"/>
    <n v="179"/>
    <n v="6.8"/>
    <x v="81"/>
    <n v="508.85"/>
    <s v="Rajkumar Hirani"/>
    <s v="MOHANLAL"/>
    <x v="3"/>
  </r>
  <r>
    <s v="M0273"/>
    <x v="82"/>
    <s v="Action"/>
    <x v="4"/>
    <x v="2"/>
    <x v="7"/>
    <s v="AUGUST"/>
    <n v="187"/>
    <n v="6.9"/>
    <x v="82"/>
    <n v="180.07"/>
    <s v="Bong Joon Ho"/>
    <s v="TOM HOLLAND"/>
    <x v="0"/>
  </r>
  <r>
    <s v="M0124"/>
    <x v="83"/>
    <s v="Action"/>
    <x v="5"/>
    <x v="4"/>
    <x v="6"/>
    <s v="AUGUST"/>
    <n v="144"/>
    <n v="7"/>
    <x v="83"/>
    <n v="216.29"/>
    <s v="Alfonso Cuarón"/>
    <s v="VIJAY"/>
    <x v="3"/>
  </r>
  <r>
    <s v="M0321"/>
    <x v="84"/>
    <s v="Comedy"/>
    <x v="3"/>
    <x v="2"/>
    <x v="0"/>
    <s v="AUGUST"/>
    <n v="136"/>
    <n v="6.7"/>
    <x v="84"/>
    <n v="579.44000000000005"/>
    <s v="Vetrimaaran"/>
    <s v="MAMMOOTTY"/>
    <x v="2"/>
  </r>
  <r>
    <s v="M0564"/>
    <x v="85"/>
    <s v="Action"/>
    <x v="1"/>
    <x v="5"/>
    <x v="1"/>
    <s v="MAY"/>
    <n v="172"/>
    <n v="8.6"/>
    <x v="85"/>
    <n v="127.29"/>
    <s v="Alfonso Cuarón"/>
    <s v="RANBIR KAPOOR"/>
    <x v="0"/>
  </r>
  <r>
    <s v="M0150"/>
    <x v="86"/>
    <s v="Romance"/>
    <x v="0"/>
    <x v="4"/>
    <x v="0"/>
    <s v="DECEMBER"/>
    <n v="159"/>
    <n v="6.9"/>
    <x v="86"/>
    <n v="103.59"/>
    <s v="Mani Ratnam"/>
    <s v="VIJAY"/>
    <x v="0"/>
  </r>
  <r>
    <s v="M0036"/>
    <x v="87"/>
    <s v="Animation"/>
    <x v="0"/>
    <x v="6"/>
    <x v="7"/>
    <s v="MARCH"/>
    <n v="180"/>
    <n v="7.6"/>
    <x v="87"/>
    <n v="303.68"/>
    <s v="Zoya Akhtar"/>
    <s v="ALIA BHATT"/>
    <x v="0"/>
  </r>
  <r>
    <s v="M0015"/>
    <x v="88"/>
    <s v="Drama"/>
    <x v="6"/>
    <x v="2"/>
    <x v="1"/>
    <s v="NOVEMBER"/>
    <n v="168"/>
    <n v="7.5"/>
    <x v="88"/>
    <n v="1125.54"/>
    <s v="Jeethu Joseph"/>
    <s v="PRABHAS"/>
    <x v="3"/>
  </r>
  <r>
    <s v="M0383"/>
    <x v="89"/>
    <s v="Action"/>
    <x v="0"/>
    <x v="2"/>
    <x v="10"/>
    <s v="DECEMBER"/>
    <n v="186"/>
    <n v="8.1999999999999993"/>
    <x v="89"/>
    <n v="321.3"/>
    <s v="Lijo Jose Pellissery"/>
    <s v="RAJINIKANTH"/>
    <x v="4"/>
  </r>
  <r>
    <s v="M0399"/>
    <x v="90"/>
    <s v="Fantasy"/>
    <x v="0"/>
    <x v="2"/>
    <x v="5"/>
    <s v="NOVEMBER"/>
    <n v="111"/>
    <n v="7"/>
    <x v="90"/>
    <n v="801.01"/>
    <s v="S.S. Rajamouli"/>
    <s v="VIJAY"/>
    <x v="2"/>
  </r>
  <r>
    <s v="M0524"/>
    <x v="91"/>
    <s v="Action"/>
    <x v="5"/>
    <x v="4"/>
    <x v="7"/>
    <s v="NOVEMBER"/>
    <n v="142"/>
    <n v="7.6"/>
    <x v="91"/>
    <n v="624.61"/>
    <s v="Jeethu Joseph"/>
    <s v="FAHADH FAASIL"/>
    <x v="5"/>
  </r>
  <r>
    <s v="M0453"/>
    <x v="92"/>
    <s v="Romance"/>
    <x v="6"/>
    <x v="4"/>
    <x v="6"/>
    <s v="MARCH"/>
    <n v="120"/>
    <n v="7.5"/>
    <x v="92"/>
    <n v="939.2"/>
    <s v="S.S. Rajamouli"/>
    <s v="SURIYA"/>
    <x v="1"/>
  </r>
  <r>
    <s v="M0105"/>
    <x v="93"/>
    <s v="Sci-Fi"/>
    <x v="0"/>
    <x v="1"/>
    <x v="4"/>
    <s v="DECEMBER"/>
    <n v="141"/>
    <n v="7.9"/>
    <x v="93"/>
    <n v="230"/>
    <s v="Alfonso Cuarón"/>
    <s v="SHAH RUKH KHAN"/>
    <x v="3"/>
  </r>
  <r>
    <s v="M0179"/>
    <x v="94"/>
    <s v="Action"/>
    <x v="0"/>
    <x v="1"/>
    <x v="7"/>
    <s v="DECEMBER"/>
    <n v="111"/>
    <n v="6.6"/>
    <x v="94"/>
    <n v="124.1"/>
    <s v="Martin Scorsese"/>
    <s v="ROBERT DOWNEY JR."/>
    <x v="5"/>
  </r>
  <r>
    <s v="M0525"/>
    <x v="95"/>
    <s v="Thriller"/>
    <x v="3"/>
    <x v="4"/>
    <x v="1"/>
    <s v="JANUARY"/>
    <n v="135"/>
    <n v="7.5"/>
    <x v="95"/>
    <n v="408.06"/>
    <s v="S.S. Rajamouli"/>
    <s v="NANI"/>
    <x v="4"/>
  </r>
  <r>
    <s v="M0223"/>
    <x v="96"/>
    <s v="Action"/>
    <x v="4"/>
    <x v="8"/>
    <x v="5"/>
    <s v="AUGUST"/>
    <n v="104"/>
    <n v="8.1999999999999993"/>
    <x v="96"/>
    <n v="673.29"/>
    <s v="Christopher Nolan"/>
    <s v="MOHANLAL"/>
    <x v="0"/>
  </r>
  <r>
    <s v="M0216"/>
    <x v="97"/>
    <s v="Romance"/>
    <x v="6"/>
    <x v="4"/>
    <x v="1"/>
    <s v="MARCH"/>
    <n v="176"/>
    <n v="6.3"/>
    <x v="97"/>
    <n v="174.8"/>
    <s v="Bong Joon Ho"/>
    <s v="NANI"/>
    <x v="5"/>
  </r>
  <r>
    <s v="M0526"/>
    <x v="98"/>
    <s v="Action"/>
    <x v="1"/>
    <x v="2"/>
    <x v="6"/>
    <s v="JANUARY"/>
    <n v="174"/>
    <n v="7.5"/>
    <x v="98"/>
    <n v="473.46"/>
    <s v="Martin Scorsese"/>
    <s v="RANBIR KAPOOR"/>
    <x v="4"/>
  </r>
  <r>
    <s v="M0148"/>
    <x v="99"/>
    <s v="Mystery"/>
    <x v="0"/>
    <x v="3"/>
    <x v="4"/>
    <s v="AUGUST"/>
    <n v="180"/>
    <n v="7.1"/>
    <x v="99"/>
    <n v="520.91"/>
    <s v="Alfonso Cuarón"/>
    <s v="RYAN GOSLING"/>
    <x v="4"/>
  </r>
  <r>
    <s v="M0520"/>
    <x v="100"/>
    <s v="Horror"/>
    <x v="2"/>
    <x v="2"/>
    <x v="0"/>
    <s v="AUGUST"/>
    <n v="142"/>
    <n v="5.7"/>
    <x v="100"/>
    <n v="255.33"/>
    <s v="Rajkumar Hirani"/>
    <s v="SURIYA"/>
    <x v="3"/>
  </r>
  <r>
    <s v="M0028"/>
    <x v="101"/>
    <s v="Drama"/>
    <x v="6"/>
    <x v="9"/>
    <x v="3"/>
    <s v="SEPTEMBER"/>
    <n v="136"/>
    <n v="6.4"/>
    <x v="101"/>
    <n v="1077.6500000000001"/>
    <s v="Rajkumar Hirani"/>
    <s v="ALIA BHATT"/>
    <x v="3"/>
  </r>
  <r>
    <s v="M0044"/>
    <x v="102"/>
    <s v="Mystery"/>
    <x v="2"/>
    <x v="1"/>
    <x v="6"/>
    <s v="OCTOBER"/>
    <n v="173"/>
    <n v="6"/>
    <x v="102"/>
    <n v="233.62"/>
    <s v="Zoya Akhtar"/>
    <s v="MAMMOOTTY"/>
    <x v="4"/>
  </r>
  <r>
    <s v="M0361"/>
    <x v="103"/>
    <s v="Drama"/>
    <x v="0"/>
    <x v="0"/>
    <x v="6"/>
    <s v="DECEMBER"/>
    <n v="126"/>
    <n v="7.3"/>
    <x v="103"/>
    <n v="1239.32"/>
    <s v="Denis Villeneuve"/>
    <s v="DULQUER SALMAAN"/>
    <x v="5"/>
  </r>
  <r>
    <s v="M0156"/>
    <x v="104"/>
    <s v="Drama"/>
    <x v="5"/>
    <x v="2"/>
    <x v="4"/>
    <s v="SEPTEMBER"/>
    <n v="122"/>
    <n v="7.6"/>
    <x v="104"/>
    <n v="1164.81"/>
    <s v="Denis Villeneuve"/>
    <s v="RAJINIKANTH"/>
    <x v="2"/>
  </r>
  <r>
    <s v="M0473"/>
    <x v="105"/>
    <s v="Action"/>
    <x v="4"/>
    <x v="2"/>
    <x v="8"/>
    <s v="JANUARY"/>
    <n v="145"/>
    <n v="7.6"/>
    <x v="105"/>
    <n v="66.73"/>
    <s v="Alfonso Cuarón"/>
    <s v="MAMMOOTTY"/>
    <x v="1"/>
  </r>
  <r>
    <s v="M0562"/>
    <x v="106"/>
    <s v="Comedy"/>
    <x v="7"/>
    <x v="1"/>
    <x v="1"/>
    <s v="NOVEMBER"/>
    <n v="107"/>
    <n v="6.6"/>
    <x v="106"/>
    <n v="764.43"/>
    <s v="Alfonso Cuarón"/>
    <s v="DHANUSH"/>
    <x v="6"/>
  </r>
  <r>
    <s v="M0181"/>
    <x v="107"/>
    <s v="Drama"/>
    <x v="8"/>
    <x v="1"/>
    <x v="6"/>
    <s v="FEBRUARY"/>
    <n v="183"/>
    <n v="7.2"/>
    <x v="107"/>
    <n v="178.18"/>
    <s v="Alfonso Cuarón"/>
    <s v="RAJINIKANTH"/>
    <x v="6"/>
  </r>
  <r>
    <s v="M0127"/>
    <x v="108"/>
    <s v="Romance"/>
    <x v="6"/>
    <x v="5"/>
    <x v="3"/>
    <s v="APRIL"/>
    <n v="183"/>
    <n v="6.3"/>
    <x v="108"/>
    <n v="627.79999999999995"/>
    <s v="Martin Scorsese"/>
    <s v="DULQUER SALMAAN"/>
    <x v="1"/>
  </r>
  <r>
    <s v="M0413"/>
    <x v="109"/>
    <s v="Action"/>
    <x v="3"/>
    <x v="0"/>
    <x v="2"/>
    <s v="APRIL"/>
    <n v="108"/>
    <n v="7.1"/>
    <x v="109"/>
    <n v="505.9"/>
    <s v="Anurag Kashyap"/>
    <s v="RYAN GOSLING"/>
    <x v="2"/>
  </r>
  <r>
    <s v="M0094"/>
    <x v="110"/>
    <s v="Mystery"/>
    <x v="0"/>
    <x v="2"/>
    <x v="7"/>
    <s v="FEBRUARY"/>
    <n v="125"/>
    <n v="7.8"/>
    <x v="110"/>
    <n v="380.65"/>
    <s v="S.S. Rajamouli"/>
    <s v="MAMMOOTTY"/>
    <x v="6"/>
  </r>
  <r>
    <s v="M0220"/>
    <x v="111"/>
    <s v="Horror"/>
    <x v="2"/>
    <x v="2"/>
    <x v="4"/>
    <s v="JANUARY"/>
    <n v="136"/>
    <n v="6.6"/>
    <x v="111"/>
    <n v="663.45"/>
    <s v="Rajkumar Hirani"/>
    <s v="SHAH RUKH KHAN"/>
    <x v="4"/>
  </r>
  <r>
    <s v="M0554"/>
    <x v="112"/>
    <s v="Thriller"/>
    <x v="6"/>
    <x v="2"/>
    <x v="2"/>
    <s v="JULY"/>
    <n v="108"/>
    <n v="7.7"/>
    <x v="112"/>
    <n v="34.57"/>
    <s v="S.S. Rajamouli"/>
    <s v="MOHANLAL"/>
    <x v="6"/>
  </r>
  <r>
    <s v="M0425"/>
    <x v="113"/>
    <s v="Romance"/>
    <x v="4"/>
    <x v="4"/>
    <x v="7"/>
    <s v="MAY"/>
    <n v="183"/>
    <n v="5.7"/>
    <x v="113"/>
    <n v="487.14"/>
    <s v="S.S. Rajamouli"/>
    <s v="LEONARDO DICAPRIO"/>
    <x v="0"/>
  </r>
  <r>
    <s v="M0406"/>
    <x v="114"/>
    <s v="Adventure"/>
    <x v="5"/>
    <x v="4"/>
    <x v="3"/>
    <s v="FEBRUARY"/>
    <n v="179"/>
    <n v="7.8"/>
    <x v="114"/>
    <n v="586.33000000000004"/>
    <s v="Vetrimaaran"/>
    <s v="RYAN GOSLING"/>
    <x v="4"/>
  </r>
  <r>
    <s v="M0038"/>
    <x v="115"/>
    <s v="Animation"/>
    <x v="0"/>
    <x v="5"/>
    <x v="0"/>
    <s v="JULY"/>
    <n v="134"/>
    <n v="8.6"/>
    <x v="115"/>
    <n v="1377.11"/>
    <s v="Zoya Akhtar"/>
    <s v="DHANUSH"/>
    <x v="6"/>
  </r>
  <r>
    <s v="M0449"/>
    <x v="116"/>
    <s v="Romance"/>
    <x v="0"/>
    <x v="2"/>
    <x v="8"/>
    <s v="JUNE"/>
    <n v="179"/>
    <n v="8"/>
    <x v="116"/>
    <n v="105.69"/>
    <s v="Vetrimaaran"/>
    <s v="SHAH RUKH KHAN"/>
    <x v="6"/>
  </r>
  <r>
    <s v="M0103"/>
    <x v="117"/>
    <s v="Comedy"/>
    <x v="6"/>
    <x v="6"/>
    <x v="6"/>
    <s v="NOVEMBER"/>
    <n v="170"/>
    <n v="6.6"/>
    <x v="117"/>
    <n v="563.78"/>
    <s v="Alfonso Cuarón"/>
    <s v="ROBERT DOWNEY JR."/>
    <x v="1"/>
  </r>
  <r>
    <s v="M0536"/>
    <x v="118"/>
    <s v="Animation"/>
    <x v="0"/>
    <x v="9"/>
    <x v="4"/>
    <s v="DECEMBER"/>
    <n v="122"/>
    <n v="7.6"/>
    <x v="118"/>
    <n v="467.13"/>
    <s v="Lokesh Kanagaraj"/>
    <s v="NANI"/>
    <x v="4"/>
  </r>
  <r>
    <s v="M0539"/>
    <x v="119"/>
    <s v="Action"/>
    <x v="0"/>
    <x v="4"/>
    <x v="2"/>
    <s v="JUNE"/>
    <n v="136"/>
    <n v="7.6"/>
    <x v="119"/>
    <n v="104.36"/>
    <s v="Lijo Jose Pellissery"/>
    <s v="LEONARDO DICAPRIO"/>
    <x v="2"/>
  </r>
  <r>
    <s v="M0021"/>
    <x v="120"/>
    <s v="Drama"/>
    <x v="3"/>
    <x v="2"/>
    <x v="8"/>
    <s v="FEBRUARY"/>
    <n v="94"/>
    <n v="6.3"/>
    <x v="120"/>
    <n v="1564.53"/>
    <s v="Vetrimaaran"/>
    <s v="DULQUER SALMAAN"/>
    <x v="0"/>
  </r>
  <r>
    <s v="M0433"/>
    <x v="121"/>
    <s v="Animation"/>
    <x v="0"/>
    <x v="2"/>
    <x v="8"/>
    <s v="JANUARY"/>
    <n v="116"/>
    <n v="7.1"/>
    <x v="121"/>
    <n v="1090.25"/>
    <s v="Mani Ratnam"/>
    <s v="FAHADH FAASIL"/>
    <x v="6"/>
  </r>
  <r>
    <s v="M0280"/>
    <x v="122"/>
    <s v="Drama"/>
    <x v="8"/>
    <x v="2"/>
    <x v="9"/>
    <s v="JUNE"/>
    <n v="176"/>
    <n v="6.6"/>
    <x v="122"/>
    <n v="1179.01"/>
    <s v="Jeethu Joseph"/>
    <s v="DULQUER SALMAAN"/>
    <x v="5"/>
  </r>
  <r>
    <s v="M0284"/>
    <x v="123"/>
    <s v="Animation"/>
    <x v="0"/>
    <x v="5"/>
    <x v="3"/>
    <s v="JANUARY"/>
    <n v="133"/>
    <n v="6.9"/>
    <x v="123"/>
    <n v="640.32000000000005"/>
    <s v="Greta Gerwig"/>
    <s v="LEONARDO DICAPRIO"/>
    <x v="5"/>
  </r>
  <r>
    <s v="M0131"/>
    <x v="124"/>
    <s v="Romance"/>
    <x v="0"/>
    <x v="1"/>
    <x v="5"/>
    <s v="AUGUST"/>
    <n v="161"/>
    <n v="8"/>
    <x v="124"/>
    <n v="62.29"/>
    <s v="Anurag Kashyap"/>
    <s v="VIJAY"/>
    <x v="5"/>
  </r>
  <r>
    <s v="M0163"/>
    <x v="125"/>
    <s v="Action"/>
    <x v="3"/>
    <x v="8"/>
    <x v="4"/>
    <s v="APRIL"/>
    <n v="127"/>
    <n v="7.3"/>
    <x v="125"/>
    <n v="652.54"/>
    <s v="S.S. Rajamouli"/>
    <s v="ROBERT DOWNEY JR."/>
    <x v="0"/>
  </r>
  <r>
    <s v="M0497"/>
    <x v="126"/>
    <s v="Fantasy"/>
    <x v="1"/>
    <x v="2"/>
    <x v="9"/>
    <s v="FEBRUARY"/>
    <n v="151"/>
    <n v="6.7"/>
    <x v="126"/>
    <n v="579.57000000000005"/>
    <s v="Jeethu Joseph"/>
    <s v="MAMMOOTTY"/>
    <x v="2"/>
  </r>
  <r>
    <s v="M0092"/>
    <x v="127"/>
    <s v="Horror"/>
    <x v="0"/>
    <x v="4"/>
    <x v="2"/>
    <s v="JULY"/>
    <n v="99"/>
    <n v="6.9"/>
    <x v="127"/>
    <n v="812.53"/>
    <s v="Christopher Nolan"/>
    <s v="RANBIR KAPOOR"/>
    <x v="3"/>
  </r>
  <r>
    <s v="M0117"/>
    <x v="128"/>
    <s v="Sci-Fi"/>
    <x v="0"/>
    <x v="2"/>
    <x v="5"/>
    <s v="AUGUST"/>
    <n v="162"/>
    <n v="7.1"/>
    <x v="128"/>
    <n v="96.65"/>
    <s v="Denis Villeneuve"/>
    <s v="SURIYA"/>
    <x v="5"/>
  </r>
  <r>
    <s v="M0337"/>
    <x v="129"/>
    <s v="Animation"/>
    <x v="0"/>
    <x v="5"/>
    <x v="4"/>
    <s v="JANUARY"/>
    <n v="89"/>
    <n v="6.4"/>
    <x v="129"/>
    <n v="850.22"/>
    <s v="Greta Gerwig"/>
    <s v="SHAH RUKH KHAN"/>
    <x v="5"/>
  </r>
  <r>
    <s v="M0188"/>
    <x v="130"/>
    <s v="Animation"/>
    <x v="0"/>
    <x v="5"/>
    <x v="4"/>
    <s v="SEPTEMBER"/>
    <n v="134"/>
    <n v="7.7"/>
    <x v="130"/>
    <n v="697.26"/>
    <s v="Lokesh Kanagaraj"/>
    <s v="ROBERT DOWNEY JR."/>
    <x v="5"/>
  </r>
  <r>
    <s v="M0329"/>
    <x v="131"/>
    <s v="Action"/>
    <x v="0"/>
    <x v="1"/>
    <x v="10"/>
    <s v="MAY"/>
    <n v="142"/>
    <n v="7.4"/>
    <x v="131"/>
    <n v="1076.69"/>
    <s v="Alfonso Cuarón"/>
    <s v="RANBIR KAPOOR"/>
    <x v="0"/>
  </r>
  <r>
    <s v="M0450"/>
    <x v="132"/>
    <s v="Romance"/>
    <x v="0"/>
    <x v="4"/>
    <x v="6"/>
    <s v="SEPTEMBER"/>
    <n v="175"/>
    <n v="6.8"/>
    <x v="132"/>
    <n v="389.15"/>
    <s v="Greta Gerwig"/>
    <s v="MAMMOOTTY"/>
    <x v="5"/>
  </r>
  <r>
    <s v="M0555"/>
    <x v="133"/>
    <s v="Sci-Fi"/>
    <x v="0"/>
    <x v="1"/>
    <x v="6"/>
    <s v="MARCH"/>
    <n v="124"/>
    <n v="7.1"/>
    <x v="133"/>
    <n v="460"/>
    <s v="Bong Joon Ho"/>
    <s v="LEONARDO DICAPRIO"/>
    <x v="0"/>
  </r>
  <r>
    <s v="M0558"/>
    <x v="134"/>
    <s v="Drama"/>
    <x v="3"/>
    <x v="6"/>
    <x v="0"/>
    <s v="MARCH"/>
    <n v="132"/>
    <n v="7.4"/>
    <x v="134"/>
    <n v="1487.91"/>
    <s v="Lijo Jose Pellissery"/>
    <s v="RYAN GOSLING"/>
    <x v="6"/>
  </r>
  <r>
    <s v="M0364"/>
    <x v="135"/>
    <s v="Action"/>
    <x v="1"/>
    <x v="5"/>
    <x v="2"/>
    <s v="FEBRUARY"/>
    <n v="145"/>
    <n v="6.8"/>
    <x v="135"/>
    <n v="835.66"/>
    <s v="Rajkumar Hirani"/>
    <s v="DHANUSH"/>
    <x v="0"/>
  </r>
  <r>
    <s v="M0431"/>
    <x v="136"/>
    <s v="Animation"/>
    <x v="0"/>
    <x v="1"/>
    <x v="0"/>
    <s v="JANUARY"/>
    <n v="177"/>
    <n v="7.8"/>
    <x v="136"/>
    <n v="77.91"/>
    <s v="Mani Ratnam"/>
    <s v="RYAN GOSLING"/>
    <x v="6"/>
  </r>
  <r>
    <s v="M0257"/>
    <x v="137"/>
    <s v="Action"/>
    <x v="2"/>
    <x v="2"/>
    <x v="10"/>
    <s v="JANUARY"/>
    <n v="104"/>
    <n v="7.5"/>
    <x v="137"/>
    <n v="1673.95"/>
    <s v="Lokesh Kanagaraj"/>
    <s v="RAJINIKANTH"/>
    <x v="4"/>
  </r>
  <r>
    <s v="M0205"/>
    <x v="138"/>
    <s v="Sci-Fi"/>
    <x v="0"/>
    <x v="1"/>
    <x v="6"/>
    <s v="SEPTEMBER"/>
    <n v="86"/>
    <n v="8.9"/>
    <x v="138"/>
    <n v="628.88"/>
    <s v="Vetrimaaran"/>
    <s v="RYAN GOSLING"/>
    <x v="4"/>
  </r>
  <r>
    <s v="M0357"/>
    <x v="139"/>
    <s v="Action"/>
    <x v="4"/>
    <x v="2"/>
    <x v="2"/>
    <s v="NOVEMBER"/>
    <n v="105"/>
    <n v="6.2"/>
    <x v="139"/>
    <n v="1012.93"/>
    <s v="Zoya Akhtar"/>
    <s v="NANI"/>
    <x v="4"/>
  </r>
  <r>
    <s v="M0307"/>
    <x v="140"/>
    <s v="Action"/>
    <x v="4"/>
    <x v="2"/>
    <x v="6"/>
    <s v="NOVEMBER"/>
    <n v="114"/>
    <n v="6.6"/>
    <x v="140"/>
    <n v="486.66"/>
    <s v="Denis Villeneuve"/>
    <s v="FAHADH FAASIL"/>
    <x v="6"/>
  </r>
  <r>
    <s v="M0297"/>
    <x v="141"/>
    <s v="Mystery"/>
    <x v="0"/>
    <x v="1"/>
    <x v="6"/>
    <s v="MARCH"/>
    <n v="170"/>
    <n v="7.7"/>
    <x v="141"/>
    <n v="1399.43"/>
    <s v="Martin Scorsese"/>
    <s v="RYAN GOSLING"/>
    <x v="2"/>
  </r>
  <r>
    <s v="M0083"/>
    <x v="142"/>
    <s v="Action"/>
    <x v="0"/>
    <x v="2"/>
    <x v="7"/>
    <s v="SEPTEMBER"/>
    <n v="113"/>
    <n v="7.4"/>
    <x v="142"/>
    <n v="1185.6600000000001"/>
    <s v="Mani Ratnam"/>
    <s v="TOM HOLLAND"/>
    <x v="0"/>
  </r>
  <r>
    <s v="M0089"/>
    <x v="143"/>
    <s v="Adventure"/>
    <x v="7"/>
    <x v="3"/>
    <x v="3"/>
    <s v="SEPTEMBER"/>
    <n v="88"/>
    <n v="6.3"/>
    <x v="143"/>
    <n v="137.26"/>
    <s v="Lijo Jose Pellissery"/>
    <s v="RAJINIKANTH"/>
    <x v="6"/>
  </r>
  <r>
    <s v="M0478"/>
    <x v="144"/>
    <s v="Drama"/>
    <x v="6"/>
    <x v="3"/>
    <x v="0"/>
    <s v="SEPTEMBER"/>
    <n v="137"/>
    <n v="6"/>
    <x v="144"/>
    <n v="903.16"/>
    <s v="Lijo Jose Pellissery"/>
    <s v="ROBERT DOWNEY JR."/>
    <x v="1"/>
  </r>
  <r>
    <s v="M0071"/>
    <x v="145"/>
    <s v="Comedy"/>
    <x v="7"/>
    <x v="2"/>
    <x v="10"/>
    <s v="DECEMBER"/>
    <n v="117"/>
    <n v="6.6"/>
    <x v="145"/>
    <n v="323.56"/>
    <s v="Denis Villeneuve"/>
    <s v="NANI"/>
    <x v="2"/>
  </r>
  <r>
    <s v="M0440"/>
    <x v="146"/>
    <s v="Action"/>
    <x v="0"/>
    <x v="6"/>
    <x v="8"/>
    <s v="AUGUST"/>
    <n v="90"/>
    <n v="7.5"/>
    <x v="146"/>
    <n v="1298.7"/>
    <s v="Lokesh Kanagaraj"/>
    <s v="TOM HOLLAND"/>
    <x v="3"/>
  </r>
  <r>
    <s v="M0456"/>
    <x v="147"/>
    <s v="Drama"/>
    <x v="7"/>
    <x v="6"/>
    <x v="5"/>
    <s v="MARCH"/>
    <n v="107"/>
    <n v="8.1999999999999993"/>
    <x v="147"/>
    <n v="1218.68"/>
    <s v="Lokesh Kanagaraj"/>
    <s v="RANBIR KAPOOR"/>
    <x v="6"/>
  </r>
  <r>
    <s v="M0047"/>
    <x v="148"/>
    <s v="Romance"/>
    <x v="0"/>
    <x v="2"/>
    <x v="3"/>
    <s v="JULY"/>
    <n v="128"/>
    <n v="8.6"/>
    <x v="148"/>
    <n v="390.53"/>
    <s v="Vetrimaaran"/>
    <s v="ALIA BHATT"/>
    <x v="5"/>
  </r>
  <r>
    <s v="M0210"/>
    <x v="149"/>
    <s v="Thriller"/>
    <x v="0"/>
    <x v="1"/>
    <x v="1"/>
    <s v="JUNE"/>
    <n v="188"/>
    <n v="8.8000000000000007"/>
    <x v="149"/>
    <n v="85.28"/>
    <s v="Mani Ratnam"/>
    <s v="SHAH RUKH KHAN"/>
    <x v="2"/>
  </r>
  <r>
    <s v="M0233"/>
    <x v="150"/>
    <s v="Action"/>
    <x v="0"/>
    <x v="2"/>
    <x v="6"/>
    <s v="DECEMBER"/>
    <n v="85"/>
    <n v="8"/>
    <x v="150"/>
    <n v="1630.1"/>
    <s v="Lijo Jose Pellissery"/>
    <s v="DHANUSH"/>
    <x v="3"/>
  </r>
  <r>
    <s v="M0367"/>
    <x v="151"/>
    <s v="Sci-Fi"/>
    <x v="9"/>
    <x v="2"/>
    <x v="7"/>
    <s v="JANUARY"/>
    <n v="189"/>
    <n v="7.3"/>
    <x v="151"/>
    <n v="1237.05"/>
    <s v="Bong Joon Ho"/>
    <s v="LEONARDO DICAPRIO"/>
    <x v="3"/>
  </r>
  <r>
    <s v="M0174"/>
    <x v="152"/>
    <s v="Action"/>
    <x v="5"/>
    <x v="4"/>
    <x v="1"/>
    <s v="FEBRUARY"/>
    <n v="130"/>
    <n v="7.2"/>
    <x v="152"/>
    <n v="120.56"/>
    <s v="Zoya Akhtar"/>
    <s v="DHANUSH"/>
    <x v="2"/>
  </r>
  <r>
    <s v="M0200"/>
    <x v="153"/>
    <s v="Romance"/>
    <x v="0"/>
    <x v="0"/>
    <x v="3"/>
    <s v="FEBRUARY"/>
    <n v="175"/>
    <n v="6.1"/>
    <x v="153"/>
    <n v="9.07"/>
    <s v="Denis Villeneuve"/>
    <s v="RANBIR KAPOOR"/>
    <x v="5"/>
  </r>
  <r>
    <s v="M0278"/>
    <x v="154"/>
    <s v="Drama"/>
    <x v="6"/>
    <x v="2"/>
    <x v="10"/>
    <s v="OCTOBER"/>
    <n v="146"/>
    <n v="7.7"/>
    <x v="154"/>
    <n v="1350.05"/>
    <s v="Bong Joon Ho"/>
    <s v="VIJAY"/>
    <x v="0"/>
  </r>
  <r>
    <s v="M0334"/>
    <x v="155"/>
    <s v="Animation"/>
    <x v="0"/>
    <x v="5"/>
    <x v="5"/>
    <s v="DECEMBER"/>
    <n v="119"/>
    <n v="7.6"/>
    <x v="155"/>
    <n v="423.67"/>
    <s v="Alfonso Cuarón"/>
    <s v="NANI"/>
    <x v="3"/>
  </r>
  <r>
    <s v="M0007"/>
    <x v="156"/>
    <s v="Action"/>
    <x v="4"/>
    <x v="2"/>
    <x v="3"/>
    <s v="AUGUST"/>
    <n v="103"/>
    <n v="7.1"/>
    <x v="156"/>
    <n v="787.56"/>
    <s v="Lijo Jose Pellissery"/>
    <s v="DHANUSH"/>
    <x v="1"/>
  </r>
  <r>
    <s v="M0026"/>
    <x v="157"/>
    <s v="Sci-Fi"/>
    <x v="6"/>
    <x v="1"/>
    <x v="4"/>
    <s v="MARCH"/>
    <n v="137"/>
    <n v="8.6999999999999993"/>
    <x v="157"/>
    <n v="325.08"/>
    <s v="Alfonso Cuarón"/>
    <s v="RANBIR KAPOOR"/>
    <x v="1"/>
  </r>
  <r>
    <s v="M0099"/>
    <x v="158"/>
    <s v="Romance"/>
    <x v="0"/>
    <x v="4"/>
    <x v="8"/>
    <s v="OCTOBER"/>
    <n v="149"/>
    <n v="6.5"/>
    <x v="158"/>
    <n v="199.12"/>
    <s v="Vetrimaaran"/>
    <s v="ROBERT DOWNEY JR."/>
    <x v="1"/>
  </r>
  <r>
    <s v="M0133"/>
    <x v="159"/>
    <s v="Mystery"/>
    <x v="0"/>
    <x v="2"/>
    <x v="6"/>
    <s v="JULY"/>
    <n v="132"/>
    <n v="7.4"/>
    <x v="159"/>
    <n v="403.76"/>
    <s v="Greta Gerwig"/>
    <s v="LEONARDO DICAPRIO"/>
    <x v="6"/>
  </r>
  <r>
    <s v="M0067"/>
    <x v="160"/>
    <s v="Sci-Fi"/>
    <x v="6"/>
    <x v="2"/>
    <x v="5"/>
    <s v="JUNE"/>
    <n v="164"/>
    <n v="6.8"/>
    <x v="160"/>
    <n v="443.96"/>
    <s v="Vetrimaaran"/>
    <s v="ROBERT DOWNEY JR."/>
    <x v="6"/>
  </r>
  <r>
    <s v="M0472"/>
    <x v="161"/>
    <s v="Comedy"/>
    <x v="3"/>
    <x v="4"/>
    <x v="0"/>
    <s v="MARCH"/>
    <n v="95"/>
    <n v="8"/>
    <x v="161"/>
    <n v="1049.1099999999999"/>
    <s v="Christopher Nolan"/>
    <s v="ROBERT DOWNEY JR."/>
    <x v="6"/>
  </r>
  <r>
    <s v="M0030"/>
    <x v="162"/>
    <s v="Drama"/>
    <x v="0"/>
    <x v="2"/>
    <x v="3"/>
    <s v="APRIL"/>
    <n v="131"/>
    <n v="8.1"/>
    <x v="162"/>
    <n v="101.6"/>
    <s v="Denis Villeneuve"/>
    <s v="RAJINIKANTH"/>
    <x v="5"/>
  </r>
  <r>
    <s v="M0023"/>
    <x v="163"/>
    <s v="Action"/>
    <x v="4"/>
    <x v="2"/>
    <x v="2"/>
    <s v="APRIL"/>
    <n v="172"/>
    <n v="6.8"/>
    <x v="163"/>
    <n v="442.55"/>
    <s v="Rajkumar Hirani"/>
    <s v="SURIYA"/>
    <x v="6"/>
  </r>
  <r>
    <s v="M0244"/>
    <x v="164"/>
    <s v="Mystery"/>
    <x v="0"/>
    <x v="2"/>
    <x v="8"/>
    <s v="OCTOBER"/>
    <n v="172"/>
    <n v="7.6"/>
    <x v="164"/>
    <n v="350.81"/>
    <s v="Bong Joon Ho"/>
    <s v="RANBIR KAPOOR"/>
    <x v="5"/>
  </r>
  <r>
    <s v="M0576"/>
    <x v="165"/>
    <s v="Action"/>
    <x v="1"/>
    <x v="2"/>
    <x v="0"/>
    <s v="NOVEMBER"/>
    <n v="145"/>
    <n v="7"/>
    <x v="165"/>
    <n v="682.45"/>
    <s v="Zoya Akhtar"/>
    <s v="RAJINIKANTH"/>
    <x v="2"/>
  </r>
  <r>
    <s v="M0428"/>
    <x v="166"/>
    <s v="Drama"/>
    <x v="2"/>
    <x v="2"/>
    <x v="2"/>
    <s v="JULY"/>
    <n v="158"/>
    <n v="7.4"/>
    <x v="166"/>
    <n v="921.31"/>
    <s v="Mani Ratnam"/>
    <s v="SURIYA"/>
    <x v="4"/>
  </r>
  <r>
    <s v="M0059"/>
    <x v="167"/>
    <s v="Comedy"/>
    <x v="6"/>
    <x v="5"/>
    <x v="5"/>
    <s v="MARCH"/>
    <n v="159"/>
    <n v="5.9"/>
    <x v="167"/>
    <n v="419.22"/>
    <s v="Martin Scorsese"/>
    <s v="MAMMOOTTY"/>
    <x v="2"/>
  </r>
  <r>
    <s v="M0109"/>
    <x v="168"/>
    <s v="Adventure"/>
    <x v="5"/>
    <x v="5"/>
    <x v="1"/>
    <s v="MAY"/>
    <n v="145"/>
    <n v="7.1"/>
    <x v="168"/>
    <n v="582.57000000000005"/>
    <s v="Christopher Nolan"/>
    <s v="ALIA BHATT"/>
    <x v="4"/>
  </r>
  <r>
    <s v="M0500"/>
    <x v="169"/>
    <s v="Romance"/>
    <x v="0"/>
    <x v="2"/>
    <x v="3"/>
    <s v="APRIL"/>
    <n v="117"/>
    <n v="5.4"/>
    <x v="169"/>
    <n v="494.89"/>
    <s v="Lijo Jose Pellissery"/>
    <s v="MAMMOOTTY"/>
    <x v="4"/>
  </r>
  <r>
    <s v="M0416"/>
    <x v="170"/>
    <s v="Romance"/>
    <x v="6"/>
    <x v="0"/>
    <x v="2"/>
    <s v="MAY"/>
    <n v="122"/>
    <n v="6.3"/>
    <x v="170"/>
    <n v="75.14"/>
    <s v="Bong Joon Ho"/>
    <s v="ALIA BHATT"/>
    <x v="5"/>
  </r>
  <r>
    <s v="M0390"/>
    <x v="171"/>
    <s v="Action"/>
    <x v="0"/>
    <x v="7"/>
    <x v="8"/>
    <s v="AUGUST"/>
    <n v="151"/>
    <n v="7.1"/>
    <x v="171"/>
    <n v="650.64"/>
    <s v="Lijo Jose Pellissery"/>
    <s v="RANBIR KAPOOR"/>
    <x v="1"/>
  </r>
  <r>
    <s v="M0479"/>
    <x v="172"/>
    <s v="Action"/>
    <x v="0"/>
    <x v="1"/>
    <x v="10"/>
    <s v="AUGUST"/>
    <n v="151"/>
    <n v="7"/>
    <x v="172"/>
    <n v="545.17999999999995"/>
    <s v="Bong Joon Ho"/>
    <s v="FAHADH FAASIL"/>
    <x v="2"/>
  </r>
  <r>
    <s v="M0153"/>
    <x v="173"/>
    <s v="Sci-Fi"/>
    <x v="6"/>
    <x v="5"/>
    <x v="3"/>
    <s v="SEPTEMBER"/>
    <n v="102"/>
    <n v="6.8"/>
    <x v="173"/>
    <n v="852.3"/>
    <s v="Bong Joon Ho"/>
    <s v="RANBIR KAPOOR"/>
    <x v="4"/>
  </r>
  <r>
    <s v="M0360"/>
    <x v="174"/>
    <s v="Action"/>
    <x v="6"/>
    <x v="1"/>
    <x v="7"/>
    <s v="JUNE"/>
    <n v="104"/>
    <n v="7.2"/>
    <x v="174"/>
    <n v="457.82"/>
    <s v="Jeethu Joseph"/>
    <s v="ALIA BHATT"/>
    <x v="6"/>
  </r>
  <r>
    <s v="M0041"/>
    <x v="175"/>
    <s v="Horror"/>
    <x v="0"/>
    <x v="1"/>
    <x v="0"/>
    <s v="AUGUST"/>
    <n v="126"/>
    <n v="6.4"/>
    <x v="175"/>
    <n v="1201.48"/>
    <s v="Zoya Akhtar"/>
    <s v="MOHANLAL"/>
    <x v="6"/>
  </r>
  <r>
    <s v="M0116"/>
    <x v="176"/>
    <s v="Romance"/>
    <x v="6"/>
    <x v="4"/>
    <x v="2"/>
    <s v="SEPTEMBER"/>
    <n v="119"/>
    <n v="8.1999999999999993"/>
    <x v="176"/>
    <n v="81.96"/>
    <s v="Denis Villeneuve"/>
    <s v="FAHADH FAASIL"/>
    <x v="2"/>
  </r>
  <r>
    <s v="M0165"/>
    <x v="177"/>
    <s v="Drama"/>
    <x v="6"/>
    <x v="2"/>
    <x v="3"/>
    <s v="APRIL"/>
    <n v="93"/>
    <n v="7.2"/>
    <x v="177"/>
    <n v="138.69"/>
    <s v="Martin Scorsese"/>
    <s v="ROBERT DOWNEY JR."/>
    <x v="6"/>
  </r>
  <r>
    <s v="M0363"/>
    <x v="178"/>
    <s v="Action"/>
    <x v="3"/>
    <x v="4"/>
    <x v="4"/>
    <s v="JUNE"/>
    <n v="149"/>
    <n v="7.1"/>
    <x v="178"/>
    <n v="629.59"/>
    <s v="Alfonso Cuarón"/>
    <s v="CHRISTIAN BALE"/>
    <x v="1"/>
  </r>
  <r>
    <s v="M0128"/>
    <x v="179"/>
    <s v="Crime"/>
    <x v="6"/>
    <x v="2"/>
    <x v="1"/>
    <s v="MARCH"/>
    <n v="141"/>
    <n v="6.7"/>
    <x v="179"/>
    <n v="264.56"/>
    <s v="Vetrimaaran"/>
    <s v="RAJINIKANTH"/>
    <x v="0"/>
  </r>
  <r>
    <s v="M0259"/>
    <x v="180"/>
    <s v="Drama"/>
    <x v="6"/>
    <x v="5"/>
    <x v="10"/>
    <s v="JULY"/>
    <n v="139"/>
    <n v="7.1"/>
    <x v="180"/>
    <n v="765.35"/>
    <s v="Lijo Jose Pellissery"/>
    <s v="RAJINIKANTH"/>
    <x v="1"/>
  </r>
  <r>
    <s v="M0046"/>
    <x v="181"/>
    <s v="Thriller"/>
    <x v="0"/>
    <x v="1"/>
    <x v="8"/>
    <s v="SEPTEMBER"/>
    <n v="184"/>
    <n v="8.4"/>
    <x v="181"/>
    <n v="742.73"/>
    <s v="Vetrimaaran"/>
    <s v="RANBIR KAPOOR"/>
    <x v="2"/>
  </r>
  <r>
    <s v="M0495"/>
    <x v="182"/>
    <s v="Mystery"/>
    <x v="9"/>
    <x v="2"/>
    <x v="10"/>
    <s v="JULY"/>
    <n v="167"/>
    <n v="7.6"/>
    <x v="182"/>
    <n v="90.7"/>
    <s v="Martin Scorsese"/>
    <s v="RYAN GOSLING"/>
    <x v="5"/>
  </r>
  <r>
    <s v="M0459"/>
    <x v="183"/>
    <s v="Mystery"/>
    <x v="6"/>
    <x v="3"/>
    <x v="2"/>
    <s v="DECEMBER"/>
    <n v="99"/>
    <n v="7"/>
    <x v="183"/>
    <n v="269.36"/>
    <s v="Anurag Kashyap"/>
    <s v="RANBIR KAPOOR"/>
    <x v="2"/>
  </r>
  <r>
    <s v="M0548"/>
    <x v="184"/>
    <s v="Drama"/>
    <x v="0"/>
    <x v="3"/>
    <x v="1"/>
    <s v="SEPTEMBER"/>
    <n v="104"/>
    <n v="7.1"/>
    <x v="184"/>
    <n v="700.24"/>
    <s v="S.S. Rajamouli"/>
    <s v="ROBERT DOWNEY JR."/>
    <x v="4"/>
  </r>
  <r>
    <s v="M0172"/>
    <x v="185"/>
    <s v="Drama"/>
    <x v="2"/>
    <x v="4"/>
    <x v="8"/>
    <s v="NOVEMBER"/>
    <n v="133"/>
    <n v="5.3"/>
    <x v="185"/>
    <n v="537.74"/>
    <s v="Bong Joon Ho"/>
    <s v="MOHANLAL"/>
    <x v="2"/>
  </r>
  <r>
    <s v="M0052"/>
    <x v="186"/>
    <s v="Action"/>
    <x v="3"/>
    <x v="2"/>
    <x v="2"/>
    <s v="MARCH"/>
    <n v="91"/>
    <n v="7.1"/>
    <x v="186"/>
    <n v="941.7"/>
    <s v="Anurag Kashyap"/>
    <s v="ROBERT DOWNEY JR."/>
    <x v="3"/>
  </r>
  <r>
    <s v="M0391"/>
    <x v="187"/>
    <s v="Horror"/>
    <x v="0"/>
    <x v="1"/>
    <x v="6"/>
    <s v="DECEMBER"/>
    <n v="111"/>
    <n v="8.1"/>
    <x v="187"/>
    <n v="41.73"/>
    <s v="Christopher Nolan"/>
    <s v="PRABHAS"/>
    <x v="2"/>
  </r>
  <r>
    <s v="M0274"/>
    <x v="188"/>
    <s v="Action"/>
    <x v="5"/>
    <x v="4"/>
    <x v="6"/>
    <s v="OCTOBER"/>
    <n v="164"/>
    <n v="7.1"/>
    <x v="188"/>
    <n v="326.12"/>
    <s v="Martin Scorsese"/>
    <s v="SHAH RUKH KHAN"/>
    <x v="2"/>
  </r>
  <r>
    <s v="M0395"/>
    <x v="189"/>
    <s v="Mystery"/>
    <x v="8"/>
    <x v="7"/>
    <x v="8"/>
    <s v="JULY"/>
    <n v="108"/>
    <n v="6"/>
    <x v="189"/>
    <n v="513.64"/>
    <s v="S.S. Rajamouli"/>
    <s v="SURIYA"/>
    <x v="0"/>
  </r>
  <r>
    <s v="M0325"/>
    <x v="190"/>
    <s v="Romance"/>
    <x v="4"/>
    <x v="1"/>
    <x v="0"/>
    <s v="APRIL"/>
    <n v="116"/>
    <n v="7.6"/>
    <x v="190"/>
    <n v="198.23"/>
    <s v="Denis Villeneuve"/>
    <s v="TOM HOLLAND"/>
    <x v="6"/>
  </r>
  <r>
    <s v="M0010"/>
    <x v="191"/>
    <s v="Action"/>
    <x v="4"/>
    <x v="6"/>
    <x v="8"/>
    <s v="APRIL"/>
    <n v="104"/>
    <n v="5.9"/>
    <x v="191"/>
    <n v="843.48"/>
    <s v="Denis Villeneuve"/>
    <s v="RAJINIKANTH"/>
    <x v="6"/>
  </r>
  <r>
    <s v="M0379"/>
    <x v="192"/>
    <s v="Action"/>
    <x v="1"/>
    <x v="1"/>
    <x v="1"/>
    <s v="OCTOBER"/>
    <n v="179"/>
    <n v="7.7"/>
    <x v="192"/>
    <n v="887.26"/>
    <s v="Greta Gerwig"/>
    <s v="MAMMOOTTY"/>
    <x v="0"/>
  </r>
  <r>
    <s v="M0532"/>
    <x v="193"/>
    <s v="Crime"/>
    <x v="0"/>
    <x v="5"/>
    <x v="8"/>
    <s v="APRIL"/>
    <n v="121"/>
    <n v="8.1"/>
    <x v="193"/>
    <n v="989.68"/>
    <s v="Lokesh Kanagaraj"/>
    <s v="PRABHAS"/>
    <x v="3"/>
  </r>
  <r>
    <s v="M0460"/>
    <x v="194"/>
    <s v="Action"/>
    <x v="0"/>
    <x v="1"/>
    <x v="8"/>
    <s v="SEPTEMBER"/>
    <n v="113"/>
    <n v="5.6"/>
    <x v="194"/>
    <n v="623.04"/>
    <s v="Rajkumar Hirani"/>
    <s v="RYAN GOSLING"/>
    <x v="5"/>
  </r>
  <r>
    <s v="M0142"/>
    <x v="195"/>
    <s v="Horror"/>
    <x v="0"/>
    <x v="2"/>
    <x v="9"/>
    <s v="MARCH"/>
    <n v="137"/>
    <n v="7.4"/>
    <x v="195"/>
    <n v="1563.62"/>
    <s v="Martin Scorsese"/>
    <s v="PRABHAS"/>
    <x v="2"/>
  </r>
  <r>
    <s v="M0579"/>
    <x v="196"/>
    <s v="Action"/>
    <x v="0"/>
    <x v="1"/>
    <x v="5"/>
    <s v="DECEMBER"/>
    <n v="107"/>
    <n v="6.7"/>
    <x v="196"/>
    <n v="100.17"/>
    <s v="Lijo Jose Pellissery"/>
    <s v="MAMMOOTTY"/>
    <x v="4"/>
  </r>
  <r>
    <s v="M0176"/>
    <x v="197"/>
    <s v="Action"/>
    <x v="1"/>
    <x v="2"/>
    <x v="5"/>
    <s v="APRIL"/>
    <n v="177"/>
    <n v="7.8"/>
    <x v="197"/>
    <n v="616.26"/>
    <s v="Rajkumar Hirani"/>
    <s v="VIJAY"/>
    <x v="6"/>
  </r>
  <r>
    <s v="M0135"/>
    <x v="198"/>
    <s v="Mystery"/>
    <x v="0"/>
    <x v="6"/>
    <x v="7"/>
    <s v="DECEMBER"/>
    <n v="157"/>
    <n v="6.8"/>
    <x v="198"/>
    <n v="129.12"/>
    <s v="Denis Villeneuve"/>
    <s v="DULQUER SALMAAN"/>
    <x v="3"/>
  </r>
  <r>
    <s v="M0552"/>
    <x v="199"/>
    <s v="Action"/>
    <x v="3"/>
    <x v="8"/>
    <x v="9"/>
    <s v="NOVEMBER"/>
    <n v="100"/>
    <n v="6.8"/>
    <x v="199"/>
    <n v="294"/>
    <s v="Denis Villeneuve"/>
    <s v="CHRISTIAN BALE"/>
    <x v="4"/>
  </r>
  <r>
    <s v="M0070"/>
    <x v="200"/>
    <s v="Horror"/>
    <x v="6"/>
    <x v="2"/>
    <x v="3"/>
    <s v="MAY"/>
    <n v="143"/>
    <n v="8"/>
    <x v="200"/>
    <n v="1141.98"/>
    <s v="Lijo Jose Pellissery"/>
    <s v="DULQUER SALMAAN"/>
    <x v="1"/>
  </r>
  <r>
    <s v="M0180"/>
    <x v="201"/>
    <s v="Drama"/>
    <x v="0"/>
    <x v="2"/>
    <x v="10"/>
    <s v="JULY"/>
    <n v="94"/>
    <n v="7.4"/>
    <x v="201"/>
    <n v="993.45"/>
    <s v="Greta Gerwig"/>
    <s v="CHRISTIAN BALE"/>
    <x v="3"/>
  </r>
  <r>
    <s v="M0376"/>
    <x v="202"/>
    <s v="Thriller"/>
    <x v="1"/>
    <x v="8"/>
    <x v="4"/>
    <s v="APRIL"/>
    <n v="98"/>
    <n v="6.6"/>
    <x v="202"/>
    <n v="282.54000000000002"/>
    <s v="Denis Villeneuve"/>
    <s v="RANBIR KAPOOR"/>
    <x v="1"/>
  </r>
  <r>
    <s v="M0454"/>
    <x v="203"/>
    <s v="Thriller"/>
    <x v="6"/>
    <x v="2"/>
    <x v="5"/>
    <s v="APRIL"/>
    <n v="93"/>
    <n v="7.5"/>
    <x v="203"/>
    <n v="514.21"/>
    <s v="Anurag Kashyap"/>
    <s v="RAJINIKANTH"/>
    <x v="0"/>
  </r>
  <r>
    <s v="M0320"/>
    <x v="204"/>
    <s v="Horror"/>
    <x v="2"/>
    <x v="2"/>
    <x v="0"/>
    <s v="SEPTEMBER"/>
    <n v="86"/>
    <n v="7.1"/>
    <x v="204"/>
    <n v="1228.17"/>
    <s v="Bong Joon Ho"/>
    <s v="RYAN GOSLING"/>
    <x v="2"/>
  </r>
  <r>
    <s v="M0591"/>
    <x v="205"/>
    <s v="Horror"/>
    <x v="0"/>
    <x v="6"/>
    <x v="5"/>
    <s v="JUNE"/>
    <n v="160"/>
    <n v="8.5"/>
    <x v="205"/>
    <n v="288.17"/>
    <s v="Denis Villeneuve"/>
    <s v="DHANUSH"/>
    <x v="1"/>
  </r>
  <r>
    <s v="M0499"/>
    <x v="206"/>
    <s v="Romance"/>
    <x v="0"/>
    <x v="9"/>
    <x v="9"/>
    <s v="JULY"/>
    <n v="145"/>
    <n v="6.4"/>
    <x v="206"/>
    <n v="347.98"/>
    <s v="Bong Joon Ho"/>
    <s v="NANI"/>
    <x v="6"/>
  </r>
  <r>
    <s v="M0324"/>
    <x v="207"/>
    <s v="Action"/>
    <x v="5"/>
    <x v="4"/>
    <x v="9"/>
    <s v="MARCH"/>
    <n v="145"/>
    <n v="5.9"/>
    <x v="207"/>
    <n v="609.1"/>
    <s v="Lokesh Kanagaraj"/>
    <s v="PRABHAS"/>
    <x v="5"/>
  </r>
  <r>
    <s v="M0088"/>
    <x v="208"/>
    <s v="Animation"/>
    <x v="0"/>
    <x v="5"/>
    <x v="4"/>
    <s v="NOVEMBER"/>
    <n v="146"/>
    <n v="6.7"/>
    <x v="208"/>
    <n v="667.28"/>
    <s v="Rajkumar Hirani"/>
    <s v="ALIA BHATT"/>
    <x v="1"/>
  </r>
  <r>
    <s v="M0432"/>
    <x v="209"/>
    <s v="Action"/>
    <x v="0"/>
    <x v="2"/>
    <x v="10"/>
    <s v="FEBRUARY"/>
    <n v="112"/>
    <n v="7.2"/>
    <x v="209"/>
    <n v="706.65"/>
    <s v="Bong Joon Ho"/>
    <s v="RANBIR KAPOOR"/>
    <x v="6"/>
  </r>
  <r>
    <s v="M0277"/>
    <x v="210"/>
    <s v="Romance"/>
    <x v="2"/>
    <x v="5"/>
    <x v="0"/>
    <s v="DECEMBER"/>
    <n v="128"/>
    <n v="7.8"/>
    <x v="210"/>
    <n v="994.99"/>
    <s v="Mani Ratnam"/>
    <s v="CHRISTIAN BALE"/>
    <x v="0"/>
  </r>
  <r>
    <s v="M0452"/>
    <x v="211"/>
    <s v="Action"/>
    <x v="3"/>
    <x v="2"/>
    <x v="5"/>
    <s v="AUGUST"/>
    <n v="164"/>
    <n v="7.2"/>
    <x v="211"/>
    <n v="1429.5"/>
    <s v="Jeethu Joseph"/>
    <s v="SHAH RUKH KHAN"/>
    <x v="6"/>
  </r>
  <r>
    <s v="M0522"/>
    <x v="212"/>
    <s v="Animation"/>
    <x v="3"/>
    <x v="8"/>
    <x v="0"/>
    <s v="SEPTEMBER"/>
    <n v="139"/>
    <n v="6.2"/>
    <x v="212"/>
    <n v="642.30999999999995"/>
    <s v="Greta Gerwig"/>
    <s v="MAMMOOTTY"/>
    <x v="0"/>
  </r>
  <r>
    <s v="M0517"/>
    <x v="213"/>
    <s v="Sci-Fi"/>
    <x v="5"/>
    <x v="2"/>
    <x v="6"/>
    <s v="AUGUST"/>
    <n v="175"/>
    <n v="6.8"/>
    <x v="213"/>
    <n v="125.3"/>
    <s v="Martin Scorsese"/>
    <s v="SHAH RUKH KHAN"/>
    <x v="5"/>
  </r>
  <r>
    <s v="M0427"/>
    <x v="214"/>
    <s v="Romance"/>
    <x v="6"/>
    <x v="5"/>
    <x v="6"/>
    <s v="AUGUST"/>
    <n v="176"/>
    <n v="7.2"/>
    <x v="214"/>
    <n v="356.21"/>
    <s v="Christopher Nolan"/>
    <s v="ROBERT DOWNEY JR."/>
    <x v="5"/>
  </r>
  <r>
    <s v="M0529"/>
    <x v="215"/>
    <s v="Thriller"/>
    <x v="0"/>
    <x v="1"/>
    <x v="9"/>
    <s v="OCTOBER"/>
    <n v="177"/>
    <n v="6.3"/>
    <x v="215"/>
    <n v="511.17"/>
    <s v="Greta Gerwig"/>
    <s v="TOM HOLLAND"/>
    <x v="3"/>
  </r>
  <r>
    <s v="M0549"/>
    <x v="216"/>
    <s v="Romance"/>
    <x v="0"/>
    <x v="2"/>
    <x v="5"/>
    <s v="MAY"/>
    <n v="112"/>
    <n v="7.7"/>
    <x v="216"/>
    <n v="101.42"/>
    <s v="Anurag Kashyap"/>
    <s v="ROBERT DOWNEY JR."/>
    <x v="2"/>
  </r>
  <r>
    <s v="M0419"/>
    <x v="217"/>
    <s v="Action"/>
    <x v="2"/>
    <x v="9"/>
    <x v="4"/>
    <s v="OCTOBER"/>
    <n v="190"/>
    <n v="7.7"/>
    <x v="217"/>
    <n v="462.21"/>
    <s v="Bong Joon Ho"/>
    <s v="FAHADH FAASIL"/>
    <x v="3"/>
  </r>
  <r>
    <s v="M0464"/>
    <x v="218"/>
    <s v="Sci-Fi"/>
    <x v="1"/>
    <x v="5"/>
    <x v="8"/>
    <s v="MARCH"/>
    <n v="110"/>
    <n v="7.7"/>
    <x v="218"/>
    <n v="570.91999999999996"/>
    <s v="Christopher Nolan"/>
    <s v="DULQUER SALMAAN"/>
    <x v="2"/>
  </r>
  <r>
    <s v="M0225"/>
    <x v="219"/>
    <s v="Adventure"/>
    <x v="4"/>
    <x v="4"/>
    <x v="1"/>
    <s v="JUNE"/>
    <n v="161"/>
    <n v="7.5"/>
    <x v="219"/>
    <n v="445.64"/>
    <s v="Greta Gerwig"/>
    <s v="NANI"/>
    <x v="1"/>
  </r>
  <r>
    <s v="M0213"/>
    <x v="220"/>
    <s v="Action"/>
    <x v="3"/>
    <x v="4"/>
    <x v="1"/>
    <s v="MARCH"/>
    <n v="113"/>
    <n v="7.9"/>
    <x v="220"/>
    <n v="74.760000000000005"/>
    <s v="Alfonso Cuarón"/>
    <s v="DULQUER SALMAAN"/>
    <x v="6"/>
  </r>
  <r>
    <s v="M0556"/>
    <x v="221"/>
    <s v="Drama"/>
    <x v="5"/>
    <x v="8"/>
    <x v="10"/>
    <s v="FEBRUARY"/>
    <n v="91"/>
    <n v="6.9"/>
    <x v="221"/>
    <n v="294.86"/>
    <s v="Mani Ratnam"/>
    <s v="CHRISTIAN BALE"/>
    <x v="0"/>
  </r>
  <r>
    <s v="M0359"/>
    <x v="222"/>
    <s v="Adventure"/>
    <x v="6"/>
    <x v="5"/>
    <x v="1"/>
    <s v="SEPTEMBER"/>
    <n v="102"/>
    <n v="7.8"/>
    <x v="222"/>
    <n v="551.16"/>
    <s v="Christopher Nolan"/>
    <s v="ALIA BHATT"/>
    <x v="3"/>
  </r>
  <r>
    <s v="M0214"/>
    <x v="223"/>
    <s v="Action"/>
    <x v="1"/>
    <x v="5"/>
    <x v="8"/>
    <s v="MAY"/>
    <n v="179"/>
    <n v="5.2"/>
    <x v="223"/>
    <n v="203.1"/>
    <s v="Alfonso Cuarón"/>
    <s v="PRABHAS"/>
    <x v="4"/>
  </r>
  <r>
    <s v="M0544"/>
    <x v="224"/>
    <s v="Mystery"/>
    <x v="0"/>
    <x v="6"/>
    <x v="8"/>
    <s v="APRIL"/>
    <n v="129"/>
    <n v="8.1"/>
    <x v="224"/>
    <n v="439.57"/>
    <s v="Bong Joon Ho"/>
    <s v="DHANUSH"/>
    <x v="5"/>
  </r>
  <r>
    <s v="M0481"/>
    <x v="225"/>
    <s v="Drama"/>
    <x v="9"/>
    <x v="1"/>
    <x v="4"/>
    <s v="AUGUST"/>
    <n v="98"/>
    <n v="7.1"/>
    <x v="225"/>
    <n v="268.62"/>
    <s v="Bong Joon Ho"/>
    <s v="LEONARDO DICAPRIO"/>
    <x v="0"/>
  </r>
  <r>
    <s v="M0045"/>
    <x v="226"/>
    <s v="Mystery"/>
    <x v="0"/>
    <x v="2"/>
    <x v="6"/>
    <s v="SEPTEMBER"/>
    <n v="167"/>
    <n v="6.4"/>
    <x v="226"/>
    <n v="457.78"/>
    <s v="Martin Scorsese"/>
    <s v="SHAH RUKH KHAN"/>
    <x v="0"/>
  </r>
  <r>
    <s v="M0294"/>
    <x v="227"/>
    <s v="Drama"/>
    <x v="0"/>
    <x v="2"/>
    <x v="8"/>
    <s v="FEBRUARY"/>
    <n v="121"/>
    <n v="7.9"/>
    <x v="227"/>
    <n v="777.87"/>
    <s v="Mani Ratnam"/>
    <s v="FAHADH FAASIL"/>
    <x v="1"/>
  </r>
  <r>
    <s v="M0341"/>
    <x v="228"/>
    <s v="Sci-Fi"/>
    <x v="1"/>
    <x v="1"/>
    <x v="10"/>
    <s v="NOVEMBER"/>
    <n v="115"/>
    <n v="5.9"/>
    <x v="228"/>
    <n v="1089.7"/>
    <s v="Martin Scorsese"/>
    <s v="RYAN GOSLING"/>
    <x v="0"/>
  </r>
  <r>
    <s v="M0451"/>
    <x v="229"/>
    <s v="Mystery"/>
    <x v="1"/>
    <x v="1"/>
    <x v="2"/>
    <s v="JUNE"/>
    <n v="119"/>
    <n v="6.4"/>
    <x v="229"/>
    <n v="55.16"/>
    <s v="Greta Gerwig"/>
    <s v="CHRISTIAN BALE"/>
    <x v="0"/>
  </r>
  <r>
    <s v="M0502"/>
    <x v="230"/>
    <s v="Sci-Fi"/>
    <x v="3"/>
    <x v="2"/>
    <x v="6"/>
    <s v="AUGUST"/>
    <n v="145"/>
    <n v="7.9"/>
    <x v="230"/>
    <n v="671.96"/>
    <s v="Lijo Jose Pellissery"/>
    <s v="MAMMOOTTY"/>
    <x v="5"/>
  </r>
  <r>
    <s v="M0541"/>
    <x v="231"/>
    <s v="Horror"/>
    <x v="0"/>
    <x v="3"/>
    <x v="2"/>
    <s v="NOVEMBER"/>
    <n v="136"/>
    <n v="7.4"/>
    <x v="231"/>
    <n v="33.97"/>
    <s v="Greta Gerwig"/>
    <s v="RYAN GOSLING"/>
    <x v="1"/>
  </r>
  <r>
    <s v="M0569"/>
    <x v="232"/>
    <s v="Thriller"/>
    <x v="0"/>
    <x v="1"/>
    <x v="10"/>
    <s v="FEBRUARY"/>
    <n v="116"/>
    <n v="7.4"/>
    <x v="232"/>
    <n v="227.71"/>
    <s v="Anurag Kashyap"/>
    <s v="TOM HOLLAND"/>
    <x v="4"/>
  </r>
  <r>
    <s v="M0129"/>
    <x v="233"/>
    <s v="Action"/>
    <x v="0"/>
    <x v="1"/>
    <x v="2"/>
    <s v="APRIL"/>
    <n v="144"/>
    <n v="7.8"/>
    <x v="233"/>
    <n v="71.38"/>
    <s v="Zoya Akhtar"/>
    <s v="SURIYA"/>
    <x v="4"/>
  </r>
  <r>
    <s v="M0415"/>
    <x v="234"/>
    <s v="Drama"/>
    <x v="6"/>
    <x v="2"/>
    <x v="3"/>
    <s v="NOVEMBER"/>
    <n v="94"/>
    <n v="6.8"/>
    <x v="234"/>
    <n v="91.71"/>
    <s v="Greta Gerwig"/>
    <s v="TOM HOLLAND"/>
    <x v="0"/>
  </r>
  <r>
    <s v="M0513"/>
    <x v="235"/>
    <s v="Action"/>
    <x v="3"/>
    <x v="8"/>
    <x v="8"/>
    <s v="MAY"/>
    <n v="151"/>
    <n v="6.6"/>
    <x v="235"/>
    <n v="755.87"/>
    <s v="Greta Gerwig"/>
    <s v="SHAH RUKH KHAN"/>
    <x v="1"/>
  </r>
  <r>
    <s v="M0137"/>
    <x v="236"/>
    <s v="Drama"/>
    <x v="0"/>
    <x v="5"/>
    <x v="10"/>
    <s v="MARCH"/>
    <n v="137"/>
    <n v="6.9"/>
    <x v="236"/>
    <n v="608.41999999999996"/>
    <s v="Bong Joon Ho"/>
    <s v="VIJAY"/>
    <x v="1"/>
  </r>
  <r>
    <s v="M0462"/>
    <x v="237"/>
    <s v="Comedy"/>
    <x v="0"/>
    <x v="1"/>
    <x v="7"/>
    <s v="SEPTEMBER"/>
    <n v="96"/>
    <n v="6.7"/>
    <x v="237"/>
    <n v="689.21"/>
    <s v="Alfonso Cuarón"/>
    <s v="SHAH RUKH KHAN"/>
    <x v="1"/>
  </r>
  <r>
    <s v="M0523"/>
    <x v="238"/>
    <s v="Action"/>
    <x v="4"/>
    <x v="8"/>
    <x v="2"/>
    <s v="MAY"/>
    <n v="159"/>
    <n v="8"/>
    <x v="238"/>
    <n v="724.27"/>
    <s v="Zoya Akhtar"/>
    <s v="DHANUSH"/>
    <x v="6"/>
  </r>
  <r>
    <s v="M0547"/>
    <x v="239"/>
    <s v="Mystery"/>
    <x v="0"/>
    <x v="2"/>
    <x v="7"/>
    <s v="MARCH"/>
    <n v="175"/>
    <n v="6.3"/>
    <x v="239"/>
    <n v="217.4"/>
    <s v="Greta Gerwig"/>
    <s v="NANI"/>
    <x v="3"/>
  </r>
  <r>
    <s v="M0147"/>
    <x v="240"/>
    <s v="Mystery"/>
    <x v="0"/>
    <x v="2"/>
    <x v="2"/>
    <s v="DECEMBER"/>
    <n v="115"/>
    <n v="7.5"/>
    <x v="240"/>
    <n v="224.56"/>
    <s v="Bong Joon Ho"/>
    <s v="MAMMOOTTY"/>
    <x v="2"/>
  </r>
  <r>
    <s v="M0201"/>
    <x v="241"/>
    <s v="Action"/>
    <x v="1"/>
    <x v="2"/>
    <x v="6"/>
    <s v="JULY"/>
    <n v="173"/>
    <n v="7.4"/>
    <x v="241"/>
    <n v="149.72999999999999"/>
    <s v="Vetrimaaran"/>
    <s v="NANI"/>
    <x v="1"/>
  </r>
  <r>
    <s v="M0085"/>
    <x v="242"/>
    <s v="Adventure"/>
    <x v="0"/>
    <x v="5"/>
    <x v="10"/>
    <s v="FEBRUARY"/>
    <n v="186"/>
    <n v="6.8"/>
    <x v="242"/>
    <n v="987.19"/>
    <s v="Anurag Kashyap"/>
    <s v="SHAH RUKH KHAN"/>
    <x v="0"/>
  </r>
  <r>
    <s v="M0439"/>
    <x v="243"/>
    <s v="Action"/>
    <x v="0"/>
    <x v="3"/>
    <x v="5"/>
    <s v="JANUARY"/>
    <n v="109"/>
    <n v="7.5"/>
    <x v="243"/>
    <n v="963.65"/>
    <s v="Lokesh Kanagaraj"/>
    <s v="LEONARDO DICAPRIO"/>
    <x v="5"/>
  </r>
  <r>
    <s v="M0144"/>
    <x v="244"/>
    <s v="Thriller"/>
    <x v="0"/>
    <x v="2"/>
    <x v="8"/>
    <s v="FEBRUARY"/>
    <n v="127"/>
    <n v="5.5"/>
    <x v="244"/>
    <n v="584.5"/>
    <s v="Lijo Jose Pellissery"/>
    <s v="VIJAY"/>
    <x v="0"/>
  </r>
  <r>
    <s v="M0434"/>
    <x v="245"/>
    <s v="Drama"/>
    <x v="0"/>
    <x v="5"/>
    <x v="8"/>
    <s v="APRIL"/>
    <n v="93"/>
    <n v="6.8"/>
    <x v="245"/>
    <n v="159.93"/>
    <s v="Vetrimaaran"/>
    <s v="MAMMOOTTY"/>
    <x v="3"/>
  </r>
  <r>
    <s v="M0543"/>
    <x v="246"/>
    <s v="Horror"/>
    <x v="0"/>
    <x v="3"/>
    <x v="3"/>
    <s v="SEPTEMBER"/>
    <n v="130"/>
    <n v="8.1"/>
    <x v="246"/>
    <n v="525.13"/>
    <s v="Mani Ratnam"/>
    <s v="RAJINIKANTH"/>
    <x v="4"/>
  </r>
  <r>
    <s v="M0048"/>
    <x v="247"/>
    <s v="Adventure"/>
    <x v="0"/>
    <x v="4"/>
    <x v="0"/>
    <s v="DECEMBER"/>
    <n v="137"/>
    <n v="7.5"/>
    <x v="247"/>
    <n v="336.65"/>
    <s v="Martin Scorsese"/>
    <s v="ROBERT DOWNEY JR."/>
    <x v="4"/>
  </r>
  <r>
    <s v="M0598"/>
    <x v="248"/>
    <s v="Mystery"/>
    <x v="0"/>
    <x v="3"/>
    <x v="0"/>
    <s v="AUGUST"/>
    <n v="137"/>
    <n v="7.6"/>
    <x v="248"/>
    <n v="1038.8900000000001"/>
    <s v="Alfonso Cuarón"/>
    <s v="MAMMOOTTY"/>
    <x v="4"/>
  </r>
  <r>
    <s v="M0436"/>
    <x v="249"/>
    <s v="Animation"/>
    <x v="0"/>
    <x v="5"/>
    <x v="10"/>
    <s v="MARCH"/>
    <n v="87"/>
    <n v="7.5"/>
    <x v="249"/>
    <n v="103.44"/>
    <s v="Lijo Jose Pellissery"/>
    <s v="MOHANLAL"/>
    <x v="2"/>
  </r>
  <r>
    <s v="M0443"/>
    <x v="250"/>
    <s v="Horror"/>
    <x v="0"/>
    <x v="3"/>
    <x v="1"/>
    <s v="MAY"/>
    <n v="102"/>
    <n v="7.8"/>
    <x v="250"/>
    <n v="137.91"/>
    <s v="Denis Villeneuve"/>
    <s v="FAHADH FAASIL"/>
    <x v="1"/>
  </r>
  <r>
    <s v="M0588"/>
    <x v="251"/>
    <s v="Animation"/>
    <x v="0"/>
    <x v="0"/>
    <x v="10"/>
    <s v="OCTOBER"/>
    <n v="181"/>
    <n v="7.3"/>
    <x v="251"/>
    <n v="25.65"/>
    <s v="Zoya Akhtar"/>
    <s v="DHANUSH"/>
    <x v="1"/>
  </r>
  <r>
    <s v="M0100"/>
    <x v="252"/>
    <s v="Animation"/>
    <x v="0"/>
    <x v="9"/>
    <x v="6"/>
    <s v="SEPTEMBER"/>
    <n v="167"/>
    <n v="7.9"/>
    <x v="252"/>
    <n v="64.89"/>
    <s v="Greta Gerwig"/>
    <s v="CHRISTIAN BALE"/>
    <x v="1"/>
  </r>
  <r>
    <s v="M0192"/>
    <x v="253"/>
    <s v="Drama"/>
    <x v="0"/>
    <x v="2"/>
    <x v="0"/>
    <s v="MAY"/>
    <n v="89"/>
    <n v="7.4"/>
    <x v="253"/>
    <n v="441.83"/>
    <s v="Mani Ratnam"/>
    <s v="MAMMOOTTY"/>
    <x v="1"/>
  </r>
  <r>
    <s v="M0060"/>
    <x v="254"/>
    <s v="Action"/>
    <x v="0"/>
    <x v="1"/>
    <x v="10"/>
    <s v="SEPTEMBER"/>
    <n v="89"/>
    <n v="7.7"/>
    <x v="254"/>
    <n v="59.39"/>
    <s v="Alfonso Cuarón"/>
    <s v="DHANUSH"/>
    <x v="4"/>
  </r>
  <r>
    <s v="M0012"/>
    <x v="255"/>
    <s v="Comedy"/>
    <x v="2"/>
    <x v="6"/>
    <x v="0"/>
    <s v="DECEMBER"/>
    <n v="124"/>
    <n v="5.9"/>
    <x v="255"/>
    <n v="1282.3599999999999"/>
    <s v="Lijo Jose Pellissery"/>
    <s v="CHRISTIAN BALE"/>
    <x v="6"/>
  </r>
  <r>
    <s v="M0027"/>
    <x v="256"/>
    <s v="Drama"/>
    <x v="6"/>
    <x v="5"/>
    <x v="7"/>
    <s v="APRIL"/>
    <n v="110"/>
    <n v="7.5"/>
    <x v="256"/>
    <n v="1364.01"/>
    <s v="Christopher Nolan"/>
    <s v="PRABHAS"/>
    <x v="2"/>
  </r>
  <r>
    <s v="M0388"/>
    <x v="257"/>
    <s v="Horror"/>
    <x v="0"/>
    <x v="5"/>
    <x v="6"/>
    <s v="JULY"/>
    <n v="155"/>
    <n v="8.6999999999999993"/>
    <x v="257"/>
    <n v="126.96"/>
    <s v="Vetrimaaran"/>
    <s v="CHRISTIAN BALE"/>
    <x v="3"/>
  </r>
  <r>
    <s v="M0250"/>
    <x v="258"/>
    <s v="Romance"/>
    <x v="0"/>
    <x v="4"/>
    <x v="3"/>
    <s v="JANUARY"/>
    <n v="145"/>
    <n v="6.1"/>
    <x v="258"/>
    <n v="784.73"/>
    <s v="Jeethu Joseph"/>
    <s v="ALIA BHATT"/>
    <x v="4"/>
  </r>
  <r>
    <s v="M0393"/>
    <x v="259"/>
    <s v="Crime"/>
    <x v="0"/>
    <x v="3"/>
    <x v="1"/>
    <s v="NOVEMBER"/>
    <n v="102"/>
    <n v="6.2"/>
    <x v="259"/>
    <n v="1473.33"/>
    <s v="Alfonso Cuarón"/>
    <s v="SURIYA"/>
    <x v="4"/>
  </r>
  <r>
    <s v="M0592"/>
    <x v="260"/>
    <s v="Drama"/>
    <x v="0"/>
    <x v="2"/>
    <x v="6"/>
    <s v="JUNE"/>
    <n v="157"/>
    <n v="7.1"/>
    <x v="260"/>
    <n v="455.92"/>
    <s v="Rajkumar Hirani"/>
    <s v="RYAN GOSLING"/>
    <x v="6"/>
  </r>
  <r>
    <s v="M0073"/>
    <x v="261"/>
    <s v="Mystery"/>
    <x v="4"/>
    <x v="2"/>
    <x v="0"/>
    <s v="OCTOBER"/>
    <n v="117"/>
    <n v="6.7"/>
    <x v="261"/>
    <n v="293.25"/>
    <s v="Lijo Jose Pellissery"/>
    <s v="LEONARDO DICAPRIO"/>
    <x v="4"/>
  </r>
  <r>
    <s v="M0087"/>
    <x v="262"/>
    <s v="Drama"/>
    <x v="0"/>
    <x v="9"/>
    <x v="4"/>
    <s v="SEPTEMBER"/>
    <n v="92"/>
    <n v="6.4"/>
    <x v="262"/>
    <n v="597.37"/>
    <s v="Zoya Akhtar"/>
    <s v="LEONARDO DICAPRIO"/>
    <x v="3"/>
  </r>
  <r>
    <s v="M0189"/>
    <x v="263"/>
    <s v="Comedy"/>
    <x v="0"/>
    <x v="3"/>
    <x v="4"/>
    <s v="MARCH"/>
    <n v="125"/>
    <n v="7.8"/>
    <x v="263"/>
    <n v="78.680000000000007"/>
    <s v="Jeethu Joseph"/>
    <s v="DHANUSH"/>
    <x v="3"/>
  </r>
  <r>
    <s v="M0178"/>
    <x v="264"/>
    <s v="Thriller"/>
    <x v="6"/>
    <x v="2"/>
    <x v="8"/>
    <s v="APRIL"/>
    <n v="126"/>
    <n v="5.8"/>
    <x v="264"/>
    <n v="433.73"/>
    <s v="Rajkumar Hirani"/>
    <s v="PRABHAS"/>
    <x v="3"/>
  </r>
  <r>
    <s v="M0314"/>
    <x v="265"/>
    <s v="Action"/>
    <x v="1"/>
    <x v="5"/>
    <x v="1"/>
    <s v="JULY"/>
    <n v="168"/>
    <n v="8.5"/>
    <x v="265"/>
    <n v="503.31"/>
    <s v="Rajkumar Hirani"/>
    <s v="VIJAY"/>
    <x v="5"/>
  </r>
  <r>
    <s v="M0191"/>
    <x v="266"/>
    <s v="Horror"/>
    <x v="0"/>
    <x v="1"/>
    <x v="7"/>
    <s v="SEPTEMBER"/>
    <n v="150"/>
    <n v="7.5"/>
    <x v="266"/>
    <n v="1016.84"/>
    <s v="Alfonso Cuarón"/>
    <s v="SHAH RUKH KHAN"/>
    <x v="1"/>
  </r>
  <r>
    <s v="M0107"/>
    <x v="267"/>
    <s v="Mystery"/>
    <x v="4"/>
    <x v="2"/>
    <x v="3"/>
    <s v="AUGUST"/>
    <n v="132"/>
    <n v="6.9"/>
    <x v="267"/>
    <n v="212.51"/>
    <s v="Alfonso Cuarón"/>
    <s v="FAHADH FAASIL"/>
    <x v="0"/>
  </r>
  <r>
    <s v="M0246"/>
    <x v="268"/>
    <s v="Thriller"/>
    <x v="0"/>
    <x v="1"/>
    <x v="6"/>
    <s v="APRIL"/>
    <n v="141"/>
    <n v="8.1"/>
    <x v="268"/>
    <n v="806.26"/>
    <s v="Alfonso Cuarón"/>
    <s v="CHRISTIAN BALE"/>
    <x v="4"/>
  </r>
  <r>
    <s v="M0458"/>
    <x v="269"/>
    <s v="Drama"/>
    <x v="3"/>
    <x v="5"/>
    <x v="7"/>
    <s v="JUNE"/>
    <n v="104"/>
    <n v="6.1"/>
    <x v="269"/>
    <n v="1081.8"/>
    <s v="Martin Scorsese"/>
    <s v="DULQUER SALMAAN"/>
    <x v="2"/>
  </r>
  <r>
    <s v="M0093"/>
    <x v="270"/>
    <s v="Horror"/>
    <x v="0"/>
    <x v="5"/>
    <x v="5"/>
    <s v="MAY"/>
    <n v="126"/>
    <n v="7.8"/>
    <x v="270"/>
    <n v="152.54"/>
    <s v="Greta Gerwig"/>
    <s v="RYAN GOSLING"/>
    <x v="6"/>
  </r>
  <r>
    <s v="M0253"/>
    <x v="271"/>
    <s v="Romance"/>
    <x v="6"/>
    <x v="5"/>
    <x v="8"/>
    <s v="JULY"/>
    <n v="169"/>
    <n v="7"/>
    <x v="271"/>
    <n v="1231.26"/>
    <s v="Lijo Jose Pellissery"/>
    <s v="SURIYA"/>
    <x v="0"/>
  </r>
  <r>
    <s v="M0348"/>
    <x v="272"/>
    <s v="Mystery"/>
    <x v="0"/>
    <x v="3"/>
    <x v="6"/>
    <s v="APRIL"/>
    <n v="105"/>
    <n v="7.3"/>
    <x v="272"/>
    <n v="121.99"/>
    <s v="Christopher Nolan"/>
    <s v="NANI"/>
    <x v="5"/>
  </r>
  <r>
    <s v="M0405"/>
    <x v="273"/>
    <s v="Sci-Fi"/>
    <x v="0"/>
    <x v="1"/>
    <x v="10"/>
    <s v="OCTOBER"/>
    <n v="137"/>
    <n v="7.2"/>
    <x v="273"/>
    <n v="821.08"/>
    <s v="Jeethu Joseph"/>
    <s v="SURIYA"/>
    <x v="3"/>
  </r>
  <r>
    <s v="M0202"/>
    <x v="274"/>
    <s v="Action"/>
    <x v="3"/>
    <x v="5"/>
    <x v="6"/>
    <s v="SEPTEMBER"/>
    <n v="157"/>
    <n v="7.4"/>
    <x v="274"/>
    <n v="291.32"/>
    <s v="Bong Joon Ho"/>
    <s v="PRABHAS"/>
    <x v="0"/>
  </r>
  <r>
    <s v="M0571"/>
    <x v="275"/>
    <s v="Comedy"/>
    <x v="3"/>
    <x v="2"/>
    <x v="10"/>
    <s v="JUNE"/>
    <n v="173"/>
    <n v="7.6"/>
    <x v="275"/>
    <n v="314.7"/>
    <s v="Rajkumar Hirani"/>
    <s v="MAMMOOTTY"/>
    <x v="3"/>
  </r>
  <r>
    <s v="M0158"/>
    <x v="276"/>
    <s v="Drama"/>
    <x v="3"/>
    <x v="5"/>
    <x v="5"/>
    <s v="JULY"/>
    <n v="108"/>
    <n v="6.7"/>
    <x v="276"/>
    <n v="326.95"/>
    <s v="S.S. Rajamouli"/>
    <s v="VIJAY"/>
    <x v="6"/>
  </r>
  <r>
    <s v="M0317"/>
    <x v="277"/>
    <s v="Sci-Fi"/>
    <x v="0"/>
    <x v="7"/>
    <x v="3"/>
    <s v="DECEMBER"/>
    <n v="91"/>
    <n v="8.1999999999999993"/>
    <x v="277"/>
    <n v="1272.51"/>
    <s v="Lijo Jose Pellissery"/>
    <s v="SURIYA"/>
    <x v="6"/>
  </r>
  <r>
    <s v="M0196"/>
    <x v="278"/>
    <s v="Thriller"/>
    <x v="0"/>
    <x v="0"/>
    <x v="9"/>
    <s v="DECEMBER"/>
    <n v="120"/>
    <n v="6.1"/>
    <x v="278"/>
    <n v="766.52"/>
    <s v="Vetrimaaran"/>
    <s v="TOM HOLLAND"/>
    <x v="5"/>
  </r>
  <r>
    <s v="M0283"/>
    <x v="279"/>
    <s v="Action"/>
    <x v="0"/>
    <x v="2"/>
    <x v="9"/>
    <s v="JANUARY"/>
    <n v="130"/>
    <n v="7.3"/>
    <x v="279"/>
    <n v="773.84"/>
    <s v="Bong Joon Ho"/>
    <s v="RYAN GOSLING"/>
    <x v="1"/>
  </r>
  <r>
    <s v="M0281"/>
    <x v="280"/>
    <s v="Drama"/>
    <x v="0"/>
    <x v="5"/>
    <x v="9"/>
    <s v="SEPTEMBER"/>
    <n v="173"/>
    <n v="6.4"/>
    <x v="280"/>
    <n v="359.05"/>
    <s v="Martin Scorsese"/>
    <s v="RYAN GOSLING"/>
    <x v="4"/>
  </r>
  <r>
    <s v="M0141"/>
    <x v="281"/>
    <s v="Thriller"/>
    <x v="4"/>
    <x v="1"/>
    <x v="8"/>
    <s v="DECEMBER"/>
    <n v="160"/>
    <n v="7.2"/>
    <x v="281"/>
    <n v="678.42"/>
    <s v="Rajkumar Hirani"/>
    <s v="SURIYA"/>
    <x v="5"/>
  </r>
  <r>
    <s v="M0347"/>
    <x v="282"/>
    <s v="Mystery"/>
    <x v="0"/>
    <x v="2"/>
    <x v="6"/>
    <s v="APRIL"/>
    <n v="166"/>
    <n v="7.1"/>
    <x v="282"/>
    <n v="112.87"/>
    <s v="Christopher Nolan"/>
    <s v="LEONARDO DICAPRIO"/>
    <x v="4"/>
  </r>
  <r>
    <s v="M0411"/>
    <x v="283"/>
    <s v="Drama"/>
    <x v="0"/>
    <x v="0"/>
    <x v="4"/>
    <s v="APRIL"/>
    <n v="156"/>
    <n v="5.9"/>
    <x v="283"/>
    <n v="288.22000000000003"/>
    <s v="Lokesh Kanagaraj"/>
    <s v="TOM HOLLAND"/>
    <x v="5"/>
  </r>
  <r>
    <s v="M0222"/>
    <x v="284"/>
    <s v="Drama"/>
    <x v="3"/>
    <x v="9"/>
    <x v="6"/>
    <s v="JANUARY"/>
    <n v="144"/>
    <n v="7.1"/>
    <x v="284"/>
    <n v="202.8"/>
    <s v="Mani Ratnam"/>
    <s v="TOM HOLLAND"/>
    <x v="5"/>
  </r>
  <r>
    <s v="M0229"/>
    <x v="285"/>
    <s v="Action"/>
    <x v="0"/>
    <x v="4"/>
    <x v="9"/>
    <s v="JUNE"/>
    <n v="94"/>
    <n v="5.9"/>
    <x v="285"/>
    <n v="450.09"/>
    <s v="Lokesh Kanagaraj"/>
    <s v="FAHADH FAASIL"/>
    <x v="4"/>
  </r>
  <r>
    <s v="M0372"/>
    <x v="286"/>
    <s v="Drama"/>
    <x v="3"/>
    <x v="4"/>
    <x v="3"/>
    <s v="MAY"/>
    <n v="115"/>
    <n v="7.2"/>
    <x v="286"/>
    <n v="85.59"/>
    <s v="Lijo Jose Pellissery"/>
    <s v="DHANUSH"/>
    <x v="3"/>
  </r>
  <r>
    <s v="M0177"/>
    <x v="287"/>
    <s v="Horror"/>
    <x v="2"/>
    <x v="9"/>
    <x v="7"/>
    <s v="JUNE"/>
    <n v="140"/>
    <n v="7.8"/>
    <x v="287"/>
    <n v="105.44"/>
    <s v="Mani Ratnam"/>
    <s v="RAJINIKANTH"/>
    <x v="0"/>
  </r>
  <r>
    <s v="M0590"/>
    <x v="288"/>
    <s v="Action"/>
    <x v="0"/>
    <x v="6"/>
    <x v="4"/>
    <s v="MAY"/>
    <n v="179"/>
    <n v="6.6"/>
    <x v="288"/>
    <n v="656.74"/>
    <s v="Vetrimaaran"/>
    <s v="RANBIR KAPOOR"/>
    <x v="0"/>
  </r>
  <r>
    <s v="M0474"/>
    <x v="289"/>
    <s v="Action"/>
    <x v="5"/>
    <x v="4"/>
    <x v="1"/>
    <s v="FEBRUARY"/>
    <n v="103"/>
    <n v="7.6"/>
    <x v="289"/>
    <n v="497.28"/>
    <s v="Vetrimaaran"/>
    <s v="FAHADH FAASIL"/>
    <x v="4"/>
  </r>
  <r>
    <s v="M0457"/>
    <x v="290"/>
    <s v="Mystery"/>
    <x v="4"/>
    <x v="2"/>
    <x v="4"/>
    <s v="APRIL"/>
    <n v="156"/>
    <n v="6.9"/>
    <x v="290"/>
    <n v="147.19999999999999"/>
    <s v="Greta Gerwig"/>
    <s v="DULQUER SALMAAN"/>
    <x v="6"/>
  </r>
  <r>
    <s v="M0136"/>
    <x v="291"/>
    <s v="Animation"/>
    <x v="7"/>
    <x v="5"/>
    <x v="1"/>
    <s v="OCTOBER"/>
    <n v="146"/>
    <n v="8.5"/>
    <x v="291"/>
    <n v="743.47"/>
    <s v="Lokesh Kanagaraj"/>
    <s v="RANBIR KAPOOR"/>
    <x v="3"/>
  </r>
  <r>
    <s v="M0302"/>
    <x v="292"/>
    <s v="Action"/>
    <x v="3"/>
    <x v="2"/>
    <x v="0"/>
    <s v="OCTOBER"/>
    <n v="178"/>
    <n v="6.2"/>
    <x v="292"/>
    <n v="290.26"/>
    <s v="Anurag Kashyap"/>
    <s v="NANI"/>
    <x v="6"/>
  </r>
  <r>
    <s v="M0401"/>
    <x v="293"/>
    <s v="Action"/>
    <x v="8"/>
    <x v="2"/>
    <x v="4"/>
    <s v="JANUARY"/>
    <n v="145"/>
    <n v="7.4"/>
    <x v="293"/>
    <n v="56.1"/>
    <s v="Bong Joon Ho"/>
    <s v="SHAH RUKH KHAN"/>
    <x v="2"/>
  </r>
  <r>
    <s v="M0252"/>
    <x v="294"/>
    <s v="Action"/>
    <x v="3"/>
    <x v="2"/>
    <x v="6"/>
    <s v="AUGUST"/>
    <n v="93"/>
    <n v="8"/>
    <x v="294"/>
    <n v="1258.28"/>
    <s v="S.S. Rajamouli"/>
    <s v="DULQUER SALMAAN"/>
    <x v="1"/>
  </r>
  <r>
    <s v="M0386"/>
    <x v="295"/>
    <s v="Animation"/>
    <x v="0"/>
    <x v="8"/>
    <x v="8"/>
    <s v="NOVEMBER"/>
    <n v="156"/>
    <n v="7.2"/>
    <x v="295"/>
    <n v="233.06"/>
    <s v="Christopher Nolan"/>
    <s v="NANI"/>
    <x v="1"/>
  </r>
  <r>
    <s v="M0336"/>
    <x v="296"/>
    <s v="Animation"/>
    <x v="0"/>
    <x v="4"/>
    <x v="6"/>
    <s v="MAY"/>
    <n v="164"/>
    <n v="6.8"/>
    <x v="296"/>
    <n v="161.32"/>
    <s v="S.S. Rajamouli"/>
    <s v="RANBIR KAPOOR"/>
    <x v="5"/>
  </r>
  <r>
    <s v="M0426"/>
    <x v="297"/>
    <s v="Action"/>
    <x v="1"/>
    <x v="8"/>
    <x v="4"/>
    <s v="AUGUST"/>
    <n v="93"/>
    <n v="7.9"/>
    <x v="297"/>
    <n v="525.17999999999995"/>
    <s v="Lokesh Kanagaraj"/>
    <s v="ROBERT DOWNEY JR."/>
    <x v="1"/>
  </r>
  <r>
    <s v="M0519"/>
    <x v="298"/>
    <s v="Sci-Fi"/>
    <x v="2"/>
    <x v="5"/>
    <x v="10"/>
    <s v="JULY"/>
    <n v="121"/>
    <n v="6.1"/>
    <x v="298"/>
    <n v="130.47"/>
    <s v="Bong Joon Ho"/>
    <s v="DULQUER SALMAAN"/>
    <x v="1"/>
  </r>
  <r>
    <s v="M0580"/>
    <x v="299"/>
    <s v="Drama"/>
    <x v="0"/>
    <x v="4"/>
    <x v="2"/>
    <s v="APRIL"/>
    <n v="124"/>
    <n v="8"/>
    <x v="299"/>
    <n v="383.12"/>
    <s v="Greta Gerwig"/>
    <s v="SURIYA"/>
    <x v="6"/>
  </r>
  <r>
    <s v="M0263"/>
    <x v="300"/>
    <s v="Action"/>
    <x v="3"/>
    <x v="4"/>
    <x v="1"/>
    <s v="JANUARY"/>
    <n v="173"/>
    <n v="7.8"/>
    <x v="300"/>
    <n v="547.95000000000005"/>
    <s v="Jeethu Joseph"/>
    <s v="TOM HOLLAND"/>
    <x v="0"/>
  </r>
  <r>
    <s v="M0381"/>
    <x v="301"/>
    <s v="Thriller"/>
    <x v="0"/>
    <x v="1"/>
    <x v="8"/>
    <s v="JANUARY"/>
    <n v="173"/>
    <n v="6.8"/>
    <x v="301"/>
    <n v="228.09"/>
    <s v="Lokesh Kanagaraj"/>
    <s v="RYAN GOSLING"/>
    <x v="0"/>
  </r>
  <r>
    <s v="M0563"/>
    <x v="302"/>
    <s v="Crime"/>
    <x v="3"/>
    <x v="4"/>
    <x v="3"/>
    <s v="AUGUST"/>
    <n v="171"/>
    <n v="8.6"/>
    <x v="302"/>
    <n v="662.73"/>
    <s v="Zoya Akhtar"/>
    <s v="TOM HOLLAND"/>
    <x v="0"/>
  </r>
  <r>
    <s v="M0025"/>
    <x v="303"/>
    <s v="Romance"/>
    <x v="4"/>
    <x v="4"/>
    <x v="10"/>
    <s v="MARCH"/>
    <n v="90"/>
    <n v="6.6"/>
    <x v="303"/>
    <n v="259.45999999999998"/>
    <s v="Jeethu Joseph"/>
    <s v="RANBIR KAPOOR"/>
    <x v="2"/>
  </r>
  <r>
    <s v="M0230"/>
    <x v="304"/>
    <s v="Drama"/>
    <x v="0"/>
    <x v="2"/>
    <x v="9"/>
    <s v="DECEMBER"/>
    <n v="163"/>
    <n v="8.5"/>
    <x v="304"/>
    <n v="475.89"/>
    <s v="Anurag Kashyap"/>
    <s v="DULQUER SALMAAN"/>
    <x v="1"/>
  </r>
  <r>
    <s v="M0313"/>
    <x v="305"/>
    <s v="Action"/>
    <x v="3"/>
    <x v="7"/>
    <x v="6"/>
    <s v="JULY"/>
    <n v="102"/>
    <n v="7.2"/>
    <x v="305"/>
    <n v="109.59"/>
    <s v="S.S. Rajamouli"/>
    <s v="PRABHAS"/>
    <x v="5"/>
  </r>
  <r>
    <s v="M0164"/>
    <x v="306"/>
    <s v="Action"/>
    <x v="1"/>
    <x v="5"/>
    <x v="9"/>
    <s v="AUGUST"/>
    <n v="108"/>
    <n v="8.1999999999999993"/>
    <x v="306"/>
    <n v="695.91"/>
    <s v="Greta Gerwig"/>
    <s v="LEONARDO DICAPRIO"/>
    <x v="4"/>
  </r>
  <r>
    <s v="M0566"/>
    <x v="307"/>
    <s v="Crime"/>
    <x v="6"/>
    <x v="4"/>
    <x v="6"/>
    <s v="OCTOBER"/>
    <n v="101"/>
    <n v="7.1"/>
    <x v="307"/>
    <n v="46.04"/>
    <s v="Lijo Jose Pellissery"/>
    <s v="CHRISTIAN BALE"/>
    <x v="1"/>
  </r>
  <r>
    <s v="M0183"/>
    <x v="308"/>
    <s v="Animation"/>
    <x v="0"/>
    <x v="2"/>
    <x v="6"/>
    <s v="FEBRUARY"/>
    <n v="178"/>
    <n v="7.6"/>
    <x v="308"/>
    <n v="843.27"/>
    <s v="Mani Ratnam"/>
    <s v="MAMMOOTTY"/>
    <x v="5"/>
  </r>
  <r>
    <s v="M0339"/>
    <x v="309"/>
    <s v="Action"/>
    <x v="0"/>
    <x v="3"/>
    <x v="4"/>
    <s v="MAY"/>
    <n v="86"/>
    <n v="8.6"/>
    <x v="309"/>
    <n v="97.42"/>
    <s v="Bong Joon Ho"/>
    <s v="ROBERT DOWNEY JR."/>
    <x v="2"/>
  </r>
  <r>
    <s v="M0033"/>
    <x v="310"/>
    <s v="Action"/>
    <x v="0"/>
    <x v="2"/>
    <x v="2"/>
    <s v="FEBRUARY"/>
    <n v="189"/>
    <n v="7.7"/>
    <x v="310"/>
    <n v="123.16"/>
    <s v="Christopher Nolan"/>
    <s v="RANBIR KAPOOR"/>
    <x v="3"/>
  </r>
  <r>
    <s v="M0528"/>
    <x v="311"/>
    <s v="Drama"/>
    <x v="6"/>
    <x v="2"/>
    <x v="10"/>
    <s v="JANUARY"/>
    <n v="127"/>
    <n v="7.2"/>
    <x v="311"/>
    <n v="177.92"/>
    <s v="Anurag Kashyap"/>
    <s v="ROBERT DOWNEY JR."/>
    <x v="3"/>
  </r>
  <r>
    <s v="M0438"/>
    <x v="312"/>
    <s v="Crime"/>
    <x v="4"/>
    <x v="5"/>
    <x v="1"/>
    <s v="SEPTEMBER"/>
    <n v="115"/>
    <n v="8"/>
    <x v="312"/>
    <n v="135.53"/>
    <s v="Denis Villeneuve"/>
    <s v="NANI"/>
    <x v="3"/>
  </r>
  <r>
    <s v="M0466"/>
    <x v="313"/>
    <s v="Romance"/>
    <x v="6"/>
    <x v="3"/>
    <x v="6"/>
    <s v="OCTOBER"/>
    <n v="180"/>
    <n v="8.1999999999999993"/>
    <x v="313"/>
    <n v="670.5"/>
    <s v="Martin Scorsese"/>
    <s v="ROBERT DOWNEY JR."/>
    <x v="2"/>
  </r>
  <r>
    <s v="M0077"/>
    <x v="314"/>
    <s v="Romance"/>
    <x v="5"/>
    <x v="1"/>
    <x v="3"/>
    <s v="FEBRUARY"/>
    <n v="166"/>
    <n v="7.9"/>
    <x v="314"/>
    <n v="257.83999999999997"/>
    <s v="Christopher Nolan"/>
    <s v="DULQUER SALMAAN"/>
    <x v="6"/>
  </r>
  <r>
    <s v="M0020"/>
    <x v="315"/>
    <s v="Horror"/>
    <x v="2"/>
    <x v="2"/>
    <x v="5"/>
    <s v="APRIL"/>
    <n v="170"/>
    <n v="7.8"/>
    <x v="315"/>
    <n v="206.16"/>
    <s v="Martin Scorsese"/>
    <s v="DULQUER SALMAAN"/>
    <x v="2"/>
  </r>
  <r>
    <s v="M0496"/>
    <x v="316"/>
    <s v="Fantasy"/>
    <x v="0"/>
    <x v="1"/>
    <x v="6"/>
    <s v="JUNE"/>
    <n v="162"/>
    <n v="6.9"/>
    <x v="316"/>
    <n v="1483.36"/>
    <s v="Lijo Jose Pellissery"/>
    <s v="NANI"/>
    <x v="0"/>
  </r>
  <r>
    <s v="M0586"/>
    <x v="317"/>
    <s v="Animation"/>
    <x v="0"/>
    <x v="5"/>
    <x v="1"/>
    <s v="MARCH"/>
    <n v="141"/>
    <n v="7.1"/>
    <x v="317"/>
    <n v="88.8"/>
    <s v="S.S. Rajamouli"/>
    <s v="CHRISTIAN BALE"/>
    <x v="3"/>
  </r>
  <r>
    <s v="M0248"/>
    <x v="318"/>
    <s v="Mystery"/>
    <x v="1"/>
    <x v="3"/>
    <x v="7"/>
    <s v="SEPTEMBER"/>
    <n v="135"/>
    <n v="6.3"/>
    <x v="318"/>
    <n v="1238.6199999999999"/>
    <s v="Vetrimaaran"/>
    <s v="ROBERT DOWNEY JR."/>
    <x v="0"/>
  </r>
  <r>
    <s v="M0521"/>
    <x v="319"/>
    <s v="Comedy"/>
    <x v="3"/>
    <x v="2"/>
    <x v="9"/>
    <s v="JUNE"/>
    <n v="144"/>
    <n v="6.7"/>
    <x v="319"/>
    <n v="166.64"/>
    <s v="S.S. Rajamouli"/>
    <s v="SHAH RUKH KHAN"/>
    <x v="6"/>
  </r>
  <r>
    <s v="M0240"/>
    <x v="320"/>
    <s v="Adventure"/>
    <x v="0"/>
    <x v="6"/>
    <x v="7"/>
    <s v="OCTOBER"/>
    <n v="115"/>
    <n v="8.1"/>
    <x v="320"/>
    <n v="262.25"/>
    <s v="Greta Gerwig"/>
    <s v="CHRISTIAN BALE"/>
    <x v="5"/>
  </r>
  <r>
    <s v="M0315"/>
    <x v="321"/>
    <s v="Drama"/>
    <x v="6"/>
    <x v="2"/>
    <x v="8"/>
    <s v="JUNE"/>
    <n v="163"/>
    <n v="7"/>
    <x v="321"/>
    <n v="236.29"/>
    <s v="Lokesh Kanagaraj"/>
    <s v="NANI"/>
    <x v="3"/>
  </r>
  <r>
    <s v="M0575"/>
    <x v="322"/>
    <s v="Comedy"/>
    <x v="4"/>
    <x v="4"/>
    <x v="2"/>
    <s v="MAY"/>
    <n v="132"/>
    <n v="8.1"/>
    <x v="322"/>
    <n v="201.55"/>
    <s v="Anurag Kashyap"/>
    <s v="NANI"/>
    <x v="1"/>
  </r>
  <r>
    <s v="M0394"/>
    <x v="323"/>
    <s v="Mystery"/>
    <x v="0"/>
    <x v="2"/>
    <x v="9"/>
    <s v="SEPTEMBER"/>
    <n v="87"/>
    <n v="7.3"/>
    <x v="323"/>
    <n v="438.84"/>
    <s v="Rajkumar Hirani"/>
    <s v="VIJAY"/>
    <x v="4"/>
  </r>
  <r>
    <s v="M0096"/>
    <x v="324"/>
    <s v="Drama"/>
    <x v="0"/>
    <x v="1"/>
    <x v="9"/>
    <s v="APRIL"/>
    <n v="184"/>
    <n v="6.7"/>
    <x v="324"/>
    <n v="643.09"/>
    <s v="Jeethu Joseph"/>
    <s v="MAMMOOTTY"/>
    <x v="2"/>
  </r>
  <r>
    <s v="M0518"/>
    <x v="325"/>
    <s v="Mystery"/>
    <x v="0"/>
    <x v="8"/>
    <x v="2"/>
    <s v="JANUARY"/>
    <n v="180"/>
    <n v="7.1"/>
    <x v="325"/>
    <n v="665.78"/>
    <s v="Anurag Kashyap"/>
    <s v="ALIA BHATT"/>
    <x v="1"/>
  </r>
  <r>
    <s v="M0186"/>
    <x v="326"/>
    <s v="Animation"/>
    <x v="0"/>
    <x v="4"/>
    <x v="8"/>
    <s v="FEBRUARY"/>
    <n v="187"/>
    <n v="8.1999999999999993"/>
    <x v="326"/>
    <n v="439.35"/>
    <s v="Mani Ratnam"/>
    <s v="MAMMOOTTY"/>
    <x v="5"/>
  </r>
  <r>
    <s v="M0061"/>
    <x v="327"/>
    <s v="Crime"/>
    <x v="9"/>
    <x v="0"/>
    <x v="0"/>
    <s v="SEPTEMBER"/>
    <n v="131"/>
    <n v="6.6"/>
    <x v="327"/>
    <n v="412.17"/>
    <s v="Lijo Jose Pellissery"/>
    <s v="DULQUER SALMAAN"/>
    <x v="5"/>
  </r>
  <r>
    <s v="M0019"/>
    <x v="328"/>
    <s v="Thriller"/>
    <x v="2"/>
    <x v="9"/>
    <x v="4"/>
    <s v="FEBRUARY"/>
    <n v="161"/>
    <n v="8.6"/>
    <x v="328"/>
    <n v="214.65"/>
    <s v="Denis Villeneuve"/>
    <s v="LEONARDO DICAPRIO"/>
    <x v="6"/>
  </r>
  <r>
    <s v="M0301"/>
    <x v="329"/>
    <s v="Adventure"/>
    <x v="1"/>
    <x v="4"/>
    <x v="6"/>
    <s v="JANUARY"/>
    <n v="149"/>
    <n v="6.3"/>
    <x v="329"/>
    <n v="487.06"/>
    <s v="Greta Gerwig"/>
    <s v="ALIA BHATT"/>
    <x v="3"/>
  </r>
  <r>
    <s v="M0054"/>
    <x v="330"/>
    <s v="Thriller"/>
    <x v="2"/>
    <x v="4"/>
    <x v="8"/>
    <s v="JANUARY"/>
    <n v="163"/>
    <n v="7.2"/>
    <x v="330"/>
    <n v="157.27000000000001"/>
    <s v="S.S. Rajamouli"/>
    <s v="MOHANLAL"/>
    <x v="1"/>
  </r>
  <r>
    <s v="M0333"/>
    <x v="331"/>
    <s v="Action"/>
    <x v="0"/>
    <x v="4"/>
    <x v="10"/>
    <s v="OCTOBER"/>
    <n v="121"/>
    <n v="7.1"/>
    <x v="331"/>
    <n v="270.58"/>
    <s v="Anurag Kashyap"/>
    <s v="DHANUSH"/>
    <x v="6"/>
  </r>
  <r>
    <s v="M0534"/>
    <x v="332"/>
    <s v="Animation"/>
    <x v="0"/>
    <x v="5"/>
    <x v="6"/>
    <s v="SEPTEMBER"/>
    <n v="113"/>
    <n v="6.2"/>
    <x v="332"/>
    <n v="203.11"/>
    <s v="Alfonso Cuarón"/>
    <s v="LEONARDO DICAPRIO"/>
    <x v="2"/>
  </r>
  <r>
    <s v="M0098"/>
    <x v="333"/>
    <s v="Mystery"/>
    <x v="0"/>
    <x v="3"/>
    <x v="5"/>
    <s v="OCTOBER"/>
    <n v="92"/>
    <n v="7.4"/>
    <x v="333"/>
    <n v="368.09"/>
    <s v="Christopher Nolan"/>
    <s v="LEONARDO DICAPRIO"/>
    <x v="4"/>
  </r>
  <r>
    <s v="M0303"/>
    <x v="334"/>
    <s v="Romance"/>
    <x v="7"/>
    <x v="5"/>
    <x v="9"/>
    <s v="MARCH"/>
    <n v="142"/>
    <n v="7.7"/>
    <x v="334"/>
    <n v="1205.69"/>
    <s v="Vetrimaaran"/>
    <s v="LEONARDO DICAPRIO"/>
    <x v="4"/>
  </r>
  <r>
    <s v="M0340"/>
    <x v="335"/>
    <s v="Action"/>
    <x v="0"/>
    <x v="6"/>
    <x v="0"/>
    <s v="JANUARY"/>
    <n v="155"/>
    <n v="7.2"/>
    <x v="335"/>
    <n v="327.27"/>
    <s v="Anurag Kashyap"/>
    <s v="RANBIR KAPOOR"/>
    <x v="5"/>
  </r>
  <r>
    <s v="M0295"/>
    <x v="336"/>
    <s v="Mystery"/>
    <x v="0"/>
    <x v="6"/>
    <x v="5"/>
    <s v="NOVEMBER"/>
    <n v="103"/>
    <n v="6.7"/>
    <x v="336"/>
    <n v="1115.9000000000001"/>
    <s v="Greta Gerwig"/>
    <s v="RYAN GOSLING"/>
    <x v="6"/>
  </r>
  <r>
    <s v="M0031"/>
    <x v="337"/>
    <s v="Adventure"/>
    <x v="0"/>
    <x v="1"/>
    <x v="10"/>
    <s v="DECEMBER"/>
    <n v="122"/>
    <n v="6.7"/>
    <x v="337"/>
    <n v="1255.56"/>
    <s v="Denis Villeneuve"/>
    <s v="DULQUER SALMAAN"/>
    <x v="3"/>
  </r>
  <r>
    <s v="M0599"/>
    <x v="338"/>
    <s v="Sci-Fi"/>
    <x v="0"/>
    <x v="2"/>
    <x v="9"/>
    <s v="JANUARY"/>
    <n v="144"/>
    <n v="8.3000000000000007"/>
    <x v="338"/>
    <n v="630.27"/>
    <s v="Zoya Akhtar"/>
    <s v="PRABHAS"/>
    <x v="6"/>
  </r>
  <r>
    <s v="M0442"/>
    <x v="339"/>
    <s v="Drama"/>
    <x v="0"/>
    <x v="2"/>
    <x v="10"/>
    <s v="MARCH"/>
    <n v="112"/>
    <n v="5.6"/>
    <x v="339"/>
    <n v="389.89"/>
    <s v="Mani Ratnam"/>
    <s v="PRABHAS"/>
    <x v="2"/>
  </r>
  <r>
    <s v="M0232"/>
    <x v="340"/>
    <s v="Action"/>
    <x v="0"/>
    <x v="5"/>
    <x v="2"/>
    <s v="MARCH"/>
    <n v="166"/>
    <n v="7.2"/>
    <x v="340"/>
    <n v="1518.53"/>
    <s v="Mani Ratnam"/>
    <s v="TOM HOLLAND"/>
    <x v="1"/>
  </r>
  <r>
    <s v="M0398"/>
    <x v="341"/>
    <s v="Animation"/>
    <x v="0"/>
    <x v="4"/>
    <x v="1"/>
    <s v="MAY"/>
    <n v="90"/>
    <n v="6.3"/>
    <x v="341"/>
    <n v="1410.2"/>
    <s v="Mani Ratnam"/>
    <s v="LEONARDO DICAPRIO"/>
    <x v="3"/>
  </r>
  <r>
    <s v="M0199"/>
    <x v="342"/>
    <s v="Romance"/>
    <x v="1"/>
    <x v="5"/>
    <x v="3"/>
    <s v="MAY"/>
    <n v="105"/>
    <n v="8.3000000000000007"/>
    <x v="342"/>
    <n v="407.17"/>
    <s v="Martin Scorsese"/>
    <s v="FAHADH FAASIL"/>
    <x v="0"/>
  </r>
  <r>
    <s v="M0146"/>
    <x v="343"/>
    <s v="Thriller"/>
    <x v="0"/>
    <x v="1"/>
    <x v="4"/>
    <s v="AUGUST"/>
    <n v="126"/>
    <n v="7.1"/>
    <x v="343"/>
    <n v="12.44"/>
    <s v="Alfonso Cuarón"/>
    <s v="ALIA BHATT"/>
    <x v="2"/>
  </r>
  <r>
    <s v="M0387"/>
    <x v="344"/>
    <s v="Crime"/>
    <x v="0"/>
    <x v="5"/>
    <x v="2"/>
    <s v="FEBRUARY"/>
    <n v="91"/>
    <n v="9.1"/>
    <x v="344"/>
    <n v="825.57"/>
    <s v="Mani Ratnam"/>
    <s v="NANI"/>
    <x v="6"/>
  </r>
  <r>
    <s v="M0557"/>
    <x v="345"/>
    <s v="Thriller"/>
    <x v="4"/>
    <x v="2"/>
    <x v="10"/>
    <s v="FEBRUARY"/>
    <n v="146"/>
    <n v="8.1999999999999993"/>
    <x v="345"/>
    <n v="29.87"/>
    <s v="Jeethu Joseph"/>
    <s v="RYAN GOSLING"/>
    <x v="2"/>
  </r>
  <r>
    <s v="M0402"/>
    <x v="346"/>
    <s v="Action"/>
    <x v="3"/>
    <x v="2"/>
    <x v="3"/>
    <s v="SEPTEMBER"/>
    <n v="95"/>
    <n v="7.1"/>
    <x v="346"/>
    <n v="882.07"/>
    <s v="Zoya Akhtar"/>
    <s v="SHAH RUKH KHAN"/>
    <x v="0"/>
  </r>
  <r>
    <s v="M0475"/>
    <x v="347"/>
    <s v="Romance"/>
    <x v="4"/>
    <x v="4"/>
    <x v="8"/>
    <s v="JANUARY"/>
    <n v="152"/>
    <n v="7.3"/>
    <x v="347"/>
    <n v="261"/>
    <s v="Bong Joon Ho"/>
    <s v="MAMMOOTTY"/>
    <x v="3"/>
  </r>
  <r>
    <s v="M0125"/>
    <x v="348"/>
    <s v="Action"/>
    <x v="8"/>
    <x v="4"/>
    <x v="4"/>
    <s v="MARCH"/>
    <n v="126"/>
    <n v="7.7"/>
    <x v="348"/>
    <n v="1448.39"/>
    <s v="Jeethu Joseph"/>
    <s v="RYAN GOSLING"/>
    <x v="1"/>
  </r>
  <r>
    <s v="M0166"/>
    <x v="349"/>
    <s v="Romance"/>
    <x v="6"/>
    <x v="4"/>
    <x v="5"/>
    <s v="SEPTEMBER"/>
    <n v="121"/>
    <n v="7.1"/>
    <x v="349"/>
    <n v="692.94"/>
    <s v="Alfonso Cuarón"/>
    <s v="FAHADH FAASIL"/>
    <x v="6"/>
  </r>
  <r>
    <s v="M0242"/>
    <x v="350"/>
    <s v="Drama"/>
    <x v="0"/>
    <x v="2"/>
    <x v="9"/>
    <s v="JUNE"/>
    <n v="120"/>
    <n v="7.4"/>
    <x v="350"/>
    <n v="769.13"/>
    <s v="Rajkumar Hirani"/>
    <s v="SURIYA"/>
    <x v="1"/>
  </r>
  <r>
    <s v="M0400"/>
    <x v="351"/>
    <s v="Romance"/>
    <x v="8"/>
    <x v="4"/>
    <x v="0"/>
    <s v="SEPTEMBER"/>
    <n v="129"/>
    <n v="7.6"/>
    <x v="351"/>
    <n v="141.59"/>
    <s v="Denis Villeneuve"/>
    <s v="RANBIR KAPOOR"/>
    <x v="6"/>
  </r>
  <r>
    <s v="M0004"/>
    <x v="352"/>
    <s v="Thriller"/>
    <x v="6"/>
    <x v="9"/>
    <x v="8"/>
    <s v="APRIL"/>
    <n v="175"/>
    <n v="7.7"/>
    <x v="352"/>
    <n v="31.09"/>
    <s v="Rajkumar Hirani"/>
    <s v="RANBIR KAPOOR"/>
    <x v="0"/>
  </r>
  <r>
    <s v="M0509"/>
    <x v="353"/>
    <s v="Adventure"/>
    <x v="6"/>
    <x v="5"/>
    <x v="8"/>
    <s v="AUGUST"/>
    <n v="116"/>
    <n v="6.4"/>
    <x v="353"/>
    <n v="91.68"/>
    <s v="Bong Joon Ho"/>
    <s v="DHANUSH"/>
    <x v="5"/>
  </r>
  <r>
    <s v="M0149"/>
    <x v="354"/>
    <s v="Romance"/>
    <x v="0"/>
    <x v="4"/>
    <x v="9"/>
    <s v="AUGUST"/>
    <n v="152"/>
    <n v="7.1"/>
    <x v="354"/>
    <n v="189.5"/>
    <s v="Denis Villeneuve"/>
    <s v="RYAN GOSLING"/>
    <x v="1"/>
  </r>
  <r>
    <s v="M0368"/>
    <x v="355"/>
    <s v="Thriller"/>
    <x v="0"/>
    <x v="1"/>
    <x v="6"/>
    <s v="MAY"/>
    <n v="142"/>
    <n v="8.3000000000000007"/>
    <x v="355"/>
    <n v="16.809999999999999"/>
    <s v="Jeethu Joseph"/>
    <s v="RYAN GOSLING"/>
    <x v="4"/>
  </r>
  <r>
    <s v="M0328"/>
    <x v="356"/>
    <s v="Drama"/>
    <x v="6"/>
    <x v="2"/>
    <x v="8"/>
    <s v="MAY"/>
    <n v="108"/>
    <n v="8.4"/>
    <x v="356"/>
    <n v="175.03"/>
    <s v="Vetrimaaran"/>
    <s v="FAHADH FAASIL"/>
    <x v="0"/>
  </r>
  <r>
    <s v="M0493"/>
    <x v="357"/>
    <s v="Horror"/>
    <x v="0"/>
    <x v="0"/>
    <x v="8"/>
    <s v="DECEMBER"/>
    <n v="165"/>
    <n v="7.7"/>
    <x v="357"/>
    <n v="69.87"/>
    <s v="Zoya Akhtar"/>
    <s v="SURIYA"/>
    <x v="2"/>
  </r>
  <r>
    <s v="M0130"/>
    <x v="358"/>
    <s v="Horror"/>
    <x v="5"/>
    <x v="2"/>
    <x v="4"/>
    <s v="AUGUST"/>
    <n v="150"/>
    <n v="7.8"/>
    <x v="358"/>
    <n v="360.38"/>
    <s v="Rajkumar Hirani"/>
    <s v="DHANUSH"/>
    <x v="0"/>
  </r>
  <r>
    <s v="M0567"/>
    <x v="359"/>
    <s v="Action"/>
    <x v="8"/>
    <x v="2"/>
    <x v="3"/>
    <s v="SEPTEMBER"/>
    <n v="143"/>
    <n v="8"/>
    <x v="359"/>
    <n v="270.67"/>
    <s v="Anurag Kashyap"/>
    <s v="SURIYA"/>
    <x v="6"/>
  </r>
  <r>
    <s v="M0491"/>
    <x v="360"/>
    <s v="Horror"/>
    <x v="0"/>
    <x v="1"/>
    <x v="2"/>
    <s v="FEBRUARY"/>
    <n v="168"/>
    <n v="7.6"/>
    <x v="360"/>
    <n v="483.11"/>
    <s v="Anurag Kashyap"/>
    <s v="DHANUSH"/>
    <x v="3"/>
  </r>
  <r>
    <s v="M0290"/>
    <x v="361"/>
    <s v="Sci-Fi"/>
    <x v="0"/>
    <x v="2"/>
    <x v="9"/>
    <s v="JUNE"/>
    <n v="150"/>
    <n v="7.7"/>
    <x v="361"/>
    <n v="520.57000000000005"/>
    <s v="Lijo Jose Pellissery"/>
    <s v="PRABHAS"/>
    <x v="3"/>
  </r>
  <r>
    <s v="M0582"/>
    <x v="362"/>
    <s v="Action"/>
    <x v="0"/>
    <x v="5"/>
    <x v="5"/>
    <s v="MARCH"/>
    <n v="150"/>
    <n v="7.9"/>
    <x v="362"/>
    <n v="488.14"/>
    <s v="Alfonso Cuarón"/>
    <s v="ROBERT DOWNEY JR."/>
    <x v="6"/>
  </r>
  <r>
    <s v="M0486"/>
    <x v="363"/>
    <s v="Animation"/>
    <x v="0"/>
    <x v="5"/>
    <x v="2"/>
    <s v="JUNE"/>
    <n v="188"/>
    <n v="6.5"/>
    <x v="363"/>
    <n v="870.17"/>
    <s v="Anurag Kashyap"/>
    <s v="MAMMOOTTY"/>
    <x v="2"/>
  </r>
  <r>
    <s v="M0407"/>
    <x v="364"/>
    <s v="Action"/>
    <x v="4"/>
    <x v="2"/>
    <x v="8"/>
    <s v="FEBRUARY"/>
    <n v="172"/>
    <n v="7.1"/>
    <x v="364"/>
    <n v="426.1"/>
    <s v="Rajkumar Hirani"/>
    <s v="PRABHAS"/>
    <x v="3"/>
  </r>
  <r>
    <s v="M0382"/>
    <x v="365"/>
    <s v="Action"/>
    <x v="0"/>
    <x v="5"/>
    <x v="8"/>
    <s v="DECEMBER"/>
    <n v="110"/>
    <n v="7.2"/>
    <x v="365"/>
    <n v="284.08999999999997"/>
    <s v="Bong Joon Ho"/>
    <s v="MAMMOOTTY"/>
    <x v="6"/>
  </r>
  <r>
    <s v="M0332"/>
    <x v="366"/>
    <s v="Thriller"/>
    <x v="0"/>
    <x v="5"/>
    <x v="2"/>
    <s v="NOVEMBER"/>
    <n v="162"/>
    <n v="6.4"/>
    <x v="366"/>
    <n v="747.65"/>
    <s v="Alfonso Cuarón"/>
    <s v="DULQUER SALMAAN"/>
    <x v="2"/>
  </r>
  <r>
    <s v="M0507"/>
    <x v="367"/>
    <s v="Action"/>
    <x v="6"/>
    <x v="4"/>
    <x v="1"/>
    <s v="DECEMBER"/>
    <n v="152"/>
    <n v="5.7"/>
    <x v="367"/>
    <n v="851.59"/>
    <s v="Bong Joon Ho"/>
    <s v="PRABHAS"/>
    <x v="4"/>
  </r>
  <r>
    <s v="M0086"/>
    <x v="368"/>
    <s v="Animation"/>
    <x v="0"/>
    <x v="5"/>
    <x v="6"/>
    <s v="JUNE"/>
    <n v="139"/>
    <n v="5.8"/>
    <x v="368"/>
    <n v="552.24"/>
    <s v="Martin Scorsese"/>
    <s v="ROBERT DOWNEY JR."/>
    <x v="6"/>
  </r>
  <r>
    <s v="M0204"/>
    <x v="369"/>
    <s v="Thriller"/>
    <x v="6"/>
    <x v="4"/>
    <x v="1"/>
    <s v="NOVEMBER"/>
    <n v="123"/>
    <n v="8"/>
    <x v="369"/>
    <n v="549.48"/>
    <s v="S.S. Rajamouli"/>
    <s v="LEONARDO DICAPRIO"/>
    <x v="0"/>
  </r>
  <r>
    <s v="M0102"/>
    <x v="370"/>
    <s v="Action"/>
    <x v="3"/>
    <x v="2"/>
    <x v="2"/>
    <s v="MAY"/>
    <n v="168"/>
    <n v="7.5"/>
    <x v="370"/>
    <n v="276.57"/>
    <s v="S.S. Rajamouli"/>
    <s v="RYAN GOSLING"/>
    <x v="5"/>
  </r>
  <r>
    <s v="M0175"/>
    <x v="371"/>
    <s v="Romance"/>
    <x v="4"/>
    <x v="6"/>
    <x v="0"/>
    <s v="OCTOBER"/>
    <n v="151"/>
    <n v="7.6"/>
    <x v="371"/>
    <n v="178.48"/>
    <s v="Rajkumar Hirani"/>
    <s v="FAHADH FAASIL"/>
    <x v="2"/>
  </r>
  <r>
    <s v="M0057"/>
    <x v="372"/>
    <s v="Action"/>
    <x v="4"/>
    <x v="2"/>
    <x v="5"/>
    <s v="AUGUST"/>
    <n v="100"/>
    <n v="6.6"/>
    <x v="372"/>
    <n v="979.23"/>
    <s v="Mani Ratnam"/>
    <s v="MOHANLAL"/>
    <x v="6"/>
  </r>
  <r>
    <s v="M0055"/>
    <x v="373"/>
    <s v="Sci-Fi"/>
    <x v="0"/>
    <x v="1"/>
    <x v="7"/>
    <s v="DECEMBER"/>
    <n v="161"/>
    <n v="7"/>
    <x v="373"/>
    <n v="977.09"/>
    <s v="Rajkumar Hirani"/>
    <s v="RANBIR KAPOOR"/>
    <x v="4"/>
  </r>
  <r>
    <s v="M0504"/>
    <x v="374"/>
    <s v="Thriller"/>
    <x v="6"/>
    <x v="4"/>
    <x v="6"/>
    <s v="MARCH"/>
    <n v="116"/>
    <n v="7.3"/>
    <x v="374"/>
    <n v="1063.55"/>
    <s v="Zoya Akhtar"/>
    <s v="SURIYA"/>
    <x v="0"/>
  </r>
  <r>
    <s v="M0063"/>
    <x v="375"/>
    <s v="Action"/>
    <x v="3"/>
    <x v="8"/>
    <x v="9"/>
    <s v="DECEMBER"/>
    <n v="119"/>
    <n v="6.5"/>
    <x v="375"/>
    <n v="280.62"/>
    <s v="Jeethu Joseph"/>
    <s v="CHRISTIAN BALE"/>
    <x v="4"/>
  </r>
  <r>
    <s v="M0289"/>
    <x v="376"/>
    <s v="Mystery"/>
    <x v="0"/>
    <x v="2"/>
    <x v="6"/>
    <s v="NOVEMBER"/>
    <n v="129"/>
    <n v="5.7"/>
    <x v="376"/>
    <n v="559.28"/>
    <s v="Martin Scorsese"/>
    <s v="RAJINIKANTH"/>
    <x v="4"/>
  </r>
  <r>
    <s v="M0378"/>
    <x v="377"/>
    <s v="Drama"/>
    <x v="6"/>
    <x v="8"/>
    <x v="10"/>
    <s v="APRIL"/>
    <n v="180"/>
    <n v="6.5"/>
    <x v="377"/>
    <n v="1452.11"/>
    <s v="Lokesh Kanagaraj"/>
    <s v="SHAH RUKH KHAN"/>
    <x v="0"/>
  </r>
  <r>
    <s v="M0074"/>
    <x v="378"/>
    <s v="Action"/>
    <x v="5"/>
    <x v="4"/>
    <x v="5"/>
    <s v="JUNE"/>
    <n v="180"/>
    <n v="7.1"/>
    <x v="378"/>
    <n v="76.790000000000006"/>
    <s v="Greta Gerwig"/>
    <s v="CHRISTIAN BALE"/>
    <x v="4"/>
  </r>
  <r>
    <s v="M0545"/>
    <x v="379"/>
    <s v="Mystery"/>
    <x v="0"/>
    <x v="2"/>
    <x v="2"/>
    <s v="AUGUST"/>
    <n v="97"/>
    <n v="7.7"/>
    <x v="379"/>
    <n v="27.16"/>
    <s v="Mani Ratnam"/>
    <s v="PRABHAS"/>
    <x v="6"/>
  </r>
  <r>
    <s v="M0118"/>
    <x v="380"/>
    <s v="Action"/>
    <x v="0"/>
    <x v="1"/>
    <x v="2"/>
    <s v="SEPTEMBER"/>
    <n v="187"/>
    <n v="6.8"/>
    <x v="380"/>
    <n v="1224.75"/>
    <s v="Zoya Akhtar"/>
    <s v="SHAH RUKH KHAN"/>
    <x v="1"/>
  </r>
  <r>
    <s v="M0016"/>
    <x v="381"/>
    <s v="Romance"/>
    <x v="6"/>
    <x v="4"/>
    <x v="0"/>
    <s v="FEBRUARY"/>
    <n v="141"/>
    <n v="7.2"/>
    <x v="381"/>
    <n v="967.48"/>
    <s v="Martin Scorsese"/>
    <s v="RYAN GOSLING"/>
    <x v="6"/>
  </r>
  <r>
    <s v="M0362"/>
    <x v="382"/>
    <s v="Sci-Fi"/>
    <x v="0"/>
    <x v="1"/>
    <x v="2"/>
    <s v="JUNE"/>
    <n v="189"/>
    <n v="6.8"/>
    <x v="382"/>
    <n v="696.5"/>
    <s v="Bong Joon Ho"/>
    <s v="TOM HOLLAND"/>
    <x v="6"/>
  </r>
  <r>
    <s v="M0075"/>
    <x v="383"/>
    <s v="Romance"/>
    <x v="9"/>
    <x v="8"/>
    <x v="2"/>
    <s v="FEBRUARY"/>
    <n v="144"/>
    <n v="7.6"/>
    <x v="383"/>
    <n v="1216.99"/>
    <s v="Zoya Akhtar"/>
    <s v="RYAN GOSLING"/>
    <x v="6"/>
  </r>
  <r>
    <s v="M0022"/>
    <x v="384"/>
    <s v="Fantasy"/>
    <x v="3"/>
    <x v="6"/>
    <x v="1"/>
    <s v="NOVEMBER"/>
    <n v="189"/>
    <n v="7"/>
    <x v="384"/>
    <n v="399.91"/>
    <s v="S.S. Rajamouli"/>
    <s v="MAMMOOTTY"/>
    <x v="5"/>
  </r>
  <r>
    <s v="M0215"/>
    <x v="385"/>
    <s v="Comedy"/>
    <x v="6"/>
    <x v="2"/>
    <x v="0"/>
    <s v="SEPTEMBER"/>
    <n v="129"/>
    <n v="6.4"/>
    <x v="385"/>
    <n v="192.61"/>
    <s v="Zoya Akhtar"/>
    <s v="DULQUER SALMAAN"/>
    <x v="1"/>
  </r>
  <r>
    <s v="M0445"/>
    <x v="386"/>
    <s v="Romance"/>
    <x v="0"/>
    <x v="2"/>
    <x v="8"/>
    <s v="MARCH"/>
    <n v="158"/>
    <n v="7.8"/>
    <x v="386"/>
    <n v="47.16"/>
    <s v="Anurag Kashyap"/>
    <s v="CHRISTIAN BALE"/>
    <x v="0"/>
  </r>
  <r>
    <s v="M0430"/>
    <x v="387"/>
    <s v="Thriller"/>
    <x v="0"/>
    <x v="2"/>
    <x v="1"/>
    <s v="JULY"/>
    <n v="169"/>
    <n v="6.7"/>
    <x v="387"/>
    <n v="259.85000000000002"/>
    <s v="Martin Scorsese"/>
    <s v="NANI"/>
    <x v="6"/>
  </r>
  <r>
    <s v="M0510"/>
    <x v="388"/>
    <s v="Action"/>
    <x v="0"/>
    <x v="1"/>
    <x v="6"/>
    <s v="FEBRUARY"/>
    <n v="156"/>
    <n v="8"/>
    <x v="388"/>
    <n v="105.01"/>
    <s v="Lijo Jose Pellissery"/>
    <s v="NANI"/>
    <x v="5"/>
  </r>
  <r>
    <s v="M0018"/>
    <x v="389"/>
    <s v="Sci-Fi"/>
    <x v="0"/>
    <x v="1"/>
    <x v="1"/>
    <s v="OCTOBER"/>
    <n v="179"/>
    <n v="7.2"/>
    <x v="389"/>
    <n v="49.67"/>
    <s v="Denis Villeneuve"/>
    <s v="ROBERT DOWNEY JR."/>
    <x v="4"/>
  </r>
  <r>
    <s v="M0193"/>
    <x v="390"/>
    <s v="Mystery"/>
    <x v="0"/>
    <x v="7"/>
    <x v="3"/>
    <s v="JULY"/>
    <n v="106"/>
    <n v="6.2"/>
    <x v="390"/>
    <n v="63.86"/>
    <s v="Greta Gerwig"/>
    <s v="ALIA BHATT"/>
    <x v="3"/>
  </r>
  <r>
    <s v="M0151"/>
    <x v="391"/>
    <s v="Action"/>
    <x v="1"/>
    <x v="2"/>
    <x v="5"/>
    <s v="DECEMBER"/>
    <n v="87"/>
    <n v="6.1"/>
    <x v="391"/>
    <n v="72.25"/>
    <s v="Vetrimaaran"/>
    <s v="MOHANLAL"/>
    <x v="6"/>
  </r>
  <r>
    <s v="M0373"/>
    <x v="392"/>
    <s v="Romance"/>
    <x v="4"/>
    <x v="5"/>
    <x v="6"/>
    <s v="DECEMBER"/>
    <n v="133"/>
    <n v="6.1"/>
    <x v="392"/>
    <n v="365.13"/>
    <s v="Denis Villeneuve"/>
    <s v="VIJAY"/>
    <x v="2"/>
  </r>
  <r>
    <s v="M0032"/>
    <x v="393"/>
    <s v="Thriller"/>
    <x v="0"/>
    <x v="5"/>
    <x v="8"/>
    <s v="OCTOBER"/>
    <n v="168"/>
    <n v="7"/>
    <x v="393"/>
    <n v="441.41"/>
    <s v="Greta Gerwig"/>
    <s v="ROBERT DOWNEY JR."/>
    <x v="5"/>
  </r>
  <r>
    <s v="M0104"/>
    <x v="394"/>
    <s v="Comedy"/>
    <x v="6"/>
    <x v="4"/>
    <x v="9"/>
    <s v="SEPTEMBER"/>
    <n v="179"/>
    <n v="7.5"/>
    <x v="394"/>
    <n v="694.05"/>
    <s v="Denis Villeneuve"/>
    <s v="DHANUSH"/>
    <x v="1"/>
  </r>
  <r>
    <s v="M0139"/>
    <x v="395"/>
    <s v="Action"/>
    <x v="0"/>
    <x v="8"/>
    <x v="5"/>
    <s v="DECEMBER"/>
    <n v="111"/>
    <n v="6.9"/>
    <x v="395"/>
    <n v="624.44000000000005"/>
    <s v="S.S. Rajamouli"/>
    <s v="MAMMOOTTY"/>
    <x v="5"/>
  </r>
  <r>
    <s v="M0226"/>
    <x v="396"/>
    <s v="Drama"/>
    <x v="1"/>
    <x v="2"/>
    <x v="9"/>
    <s v="DECEMBER"/>
    <n v="92"/>
    <n v="8.8000000000000007"/>
    <x v="396"/>
    <n v="565.49"/>
    <s v="Vetrimaaran"/>
    <s v="FAHADH FAASIL"/>
    <x v="1"/>
  </r>
  <r>
    <s v="M0112"/>
    <x v="397"/>
    <s v="Comedy"/>
    <x v="0"/>
    <x v="1"/>
    <x v="1"/>
    <s v="JULY"/>
    <n v="145"/>
    <n v="7.2"/>
    <x v="397"/>
    <n v="1177.0899999999999"/>
    <s v="Bong Joon Ho"/>
    <s v="TOM HOLLAND"/>
    <x v="4"/>
  </r>
  <r>
    <s v="M0008"/>
    <x v="398"/>
    <s v="Comedy"/>
    <x v="3"/>
    <x v="5"/>
    <x v="1"/>
    <s v="FEBRUARY"/>
    <n v="104"/>
    <n v="7.8"/>
    <x v="398"/>
    <n v="223.37"/>
    <s v="Anurag Kashyap"/>
    <s v="DHANUSH"/>
    <x v="0"/>
  </r>
  <r>
    <s v="M0079"/>
    <x v="399"/>
    <s v="Action"/>
    <x v="0"/>
    <x v="2"/>
    <x v="2"/>
    <s v="APRIL"/>
    <n v="141"/>
    <n v="6.7"/>
    <x v="399"/>
    <n v="143.69999999999999"/>
    <s v="Christopher Nolan"/>
    <s v="DHANUSH"/>
    <x v="1"/>
  </r>
  <r>
    <s v="M0380"/>
    <x v="400"/>
    <s v="Action"/>
    <x v="1"/>
    <x v="2"/>
    <x v="10"/>
    <s v="DECEMBER"/>
    <n v="90"/>
    <n v="6.1"/>
    <x v="400"/>
    <n v="581.22"/>
    <s v="Jeethu Joseph"/>
    <s v="DULQUER SALMAAN"/>
    <x v="0"/>
  </r>
  <r>
    <s v="M0542"/>
    <x v="401"/>
    <s v="Horror"/>
    <x v="0"/>
    <x v="2"/>
    <x v="3"/>
    <s v="MARCH"/>
    <n v="87"/>
    <n v="5.7"/>
    <x v="401"/>
    <n v="984.23"/>
    <s v="Jeethu Joseph"/>
    <s v="DULQUER SALMAAN"/>
    <x v="3"/>
  </r>
  <r>
    <s v="M0344"/>
    <x v="402"/>
    <s v="Animation"/>
    <x v="9"/>
    <x v="2"/>
    <x v="1"/>
    <s v="JUNE"/>
    <n v="95"/>
    <n v="7.8"/>
    <x v="402"/>
    <n v="334.66"/>
    <s v="Alfonso Cuarón"/>
    <s v="DHANUSH"/>
    <x v="3"/>
  </r>
  <r>
    <s v="M0366"/>
    <x v="403"/>
    <s v="Romance"/>
    <x v="6"/>
    <x v="4"/>
    <x v="10"/>
    <s v="JULY"/>
    <n v="131"/>
    <n v="6.8"/>
    <x v="403"/>
    <n v="153.05000000000001"/>
    <s v="Alfonso Cuarón"/>
    <s v="DULQUER SALMAAN"/>
    <x v="2"/>
  </r>
  <r>
    <s v="M0084"/>
    <x v="404"/>
    <s v="Sci-Fi"/>
    <x v="0"/>
    <x v="5"/>
    <x v="7"/>
    <s v="FEBRUARY"/>
    <n v="95"/>
    <n v="7.1"/>
    <x v="404"/>
    <n v="189.56"/>
    <s v="Denis Villeneuve"/>
    <s v="RYAN GOSLING"/>
    <x v="0"/>
  </r>
  <r>
    <s v="M0285"/>
    <x v="405"/>
    <s v="Animation"/>
    <x v="0"/>
    <x v="3"/>
    <x v="0"/>
    <s v="NOVEMBER"/>
    <n v="175"/>
    <n v="7"/>
    <x v="405"/>
    <n v="666.16"/>
    <s v="S.S. Rajamouli"/>
    <s v="SHAH RUKH KHAN"/>
    <x v="5"/>
  </r>
  <r>
    <s v="M0076"/>
    <x v="406"/>
    <s v="Action"/>
    <x v="1"/>
    <x v="2"/>
    <x v="2"/>
    <s v="NOVEMBER"/>
    <n v="180"/>
    <n v="7.1"/>
    <x v="406"/>
    <n v="224.71"/>
    <s v="Rajkumar Hirani"/>
    <s v="RANBIR KAPOOR"/>
    <x v="6"/>
  </r>
  <r>
    <s v="M0503"/>
    <x v="407"/>
    <s v="Romance"/>
    <x v="6"/>
    <x v="5"/>
    <x v="9"/>
    <s v="DECEMBER"/>
    <n v="126"/>
    <n v="7"/>
    <x v="407"/>
    <n v="327.12"/>
    <s v="Alfonso Cuarón"/>
    <s v="VIJAY"/>
    <x v="0"/>
  </r>
  <r>
    <s v="M0003"/>
    <x v="408"/>
    <s v="Romance"/>
    <x v="6"/>
    <x v="4"/>
    <x v="6"/>
    <s v="JULY"/>
    <n v="97"/>
    <n v="6.8"/>
    <x v="408"/>
    <n v="1150.19"/>
    <s v="Lijo Jose Pellissery"/>
    <s v="DHANUSH"/>
    <x v="3"/>
  </r>
  <r>
    <s v="M0408"/>
    <x v="409"/>
    <s v="Crime"/>
    <x v="3"/>
    <x v="5"/>
    <x v="7"/>
    <s v="SEPTEMBER"/>
    <n v="122"/>
    <n v="6"/>
    <x v="409"/>
    <n v="587.08000000000004"/>
    <s v="Martin Scorsese"/>
    <s v="RAJINIKANTH"/>
    <x v="3"/>
  </r>
  <r>
    <s v="M0299"/>
    <x v="410"/>
    <s v="Romance"/>
    <x v="0"/>
    <x v="2"/>
    <x v="8"/>
    <s v="MARCH"/>
    <n v="157"/>
    <n v="6"/>
    <x v="410"/>
    <n v="127.01"/>
    <s v="Bong Joon Ho"/>
    <s v="SURIYA"/>
    <x v="4"/>
  </r>
  <r>
    <s v="M0080"/>
    <x v="411"/>
    <s v="Animation"/>
    <x v="0"/>
    <x v="2"/>
    <x v="3"/>
    <s v="OCTOBER"/>
    <n v="87"/>
    <n v="7.4"/>
    <x v="411"/>
    <n v="479.4"/>
    <s v="Alfonso Cuarón"/>
    <s v="PRABHAS"/>
    <x v="4"/>
  </r>
  <r>
    <s v="M0270"/>
    <x v="412"/>
    <s v="Fantasy"/>
    <x v="6"/>
    <x v="2"/>
    <x v="7"/>
    <s v="FEBRUARY"/>
    <n v="137"/>
    <n v="7.7"/>
    <x v="412"/>
    <n v="34.21"/>
    <s v="Christopher Nolan"/>
    <s v="CHRISTIAN BALE"/>
    <x v="5"/>
  </r>
  <r>
    <s v="M0209"/>
    <x v="413"/>
    <s v="Fantasy"/>
    <x v="6"/>
    <x v="5"/>
    <x v="4"/>
    <s v="DECEMBER"/>
    <n v="86"/>
    <n v="8.1999999999999993"/>
    <x v="413"/>
    <n v="822.11"/>
    <s v="Lokesh Kanagaraj"/>
    <s v="NANI"/>
    <x v="5"/>
  </r>
  <r>
    <s v="M0342"/>
    <x v="414"/>
    <s v="Horror"/>
    <x v="0"/>
    <x v="2"/>
    <x v="6"/>
    <s v="NOVEMBER"/>
    <n v="143"/>
    <n v="7.1"/>
    <x v="414"/>
    <n v="627.80999999999995"/>
    <s v="Jeethu Joseph"/>
    <s v="RAJINIKANTH"/>
    <x v="1"/>
  </r>
  <r>
    <s v="M0219"/>
    <x v="415"/>
    <s v="Thriller"/>
    <x v="2"/>
    <x v="9"/>
    <x v="6"/>
    <s v="FEBRUARY"/>
    <n v="105"/>
    <n v="7.4"/>
    <x v="415"/>
    <n v="187.1"/>
    <s v="Lokesh Kanagaraj"/>
    <s v="MOHANLAL"/>
    <x v="2"/>
  </r>
  <r>
    <s v="M0488"/>
    <x v="416"/>
    <s v="Animation"/>
    <x v="0"/>
    <x v="5"/>
    <x v="9"/>
    <s v="JULY"/>
    <n v="119"/>
    <n v="7.5"/>
    <x v="416"/>
    <n v="827.52"/>
    <s v="Anurag Kashyap"/>
    <s v="DHANUSH"/>
    <x v="3"/>
  </r>
  <r>
    <s v="M0470"/>
    <x v="417"/>
    <s v="Horror"/>
    <x v="2"/>
    <x v="2"/>
    <x v="9"/>
    <s v="OCTOBER"/>
    <n v="173"/>
    <n v="7.5"/>
    <x v="417"/>
    <n v="1540.97"/>
    <s v="Anurag Kashyap"/>
    <s v="SHAH RUKH KHAN"/>
    <x v="6"/>
  </r>
  <r>
    <s v="M0441"/>
    <x v="418"/>
    <s v="Horror"/>
    <x v="9"/>
    <x v="1"/>
    <x v="2"/>
    <s v="JULY"/>
    <n v="110"/>
    <n v="7.2"/>
    <x v="418"/>
    <n v="582.66"/>
    <s v="Jeethu Joseph"/>
    <s v="SURIYA"/>
    <x v="0"/>
  </r>
  <r>
    <s v="M0198"/>
    <x v="419"/>
    <s v="Mystery"/>
    <x v="0"/>
    <x v="3"/>
    <x v="3"/>
    <s v="JANUARY"/>
    <n v="90"/>
    <n v="8"/>
    <x v="419"/>
    <n v="1007.58"/>
    <s v="Rajkumar Hirani"/>
    <s v="FAHADH FAASIL"/>
    <x v="0"/>
  </r>
  <r>
    <s v="M0485"/>
    <x v="420"/>
    <s v="Animation"/>
    <x v="0"/>
    <x v="5"/>
    <x v="7"/>
    <s v="AUGUST"/>
    <n v="156"/>
    <n v="7.7"/>
    <x v="420"/>
    <n v="320.44"/>
    <s v="Denis Villeneuve"/>
    <s v="NANI"/>
    <x v="2"/>
  </r>
  <r>
    <s v="M0494"/>
    <x v="421"/>
    <s v="Drama"/>
    <x v="0"/>
    <x v="8"/>
    <x v="5"/>
    <s v="NOVEMBER"/>
    <n v="105"/>
    <n v="7.4"/>
    <x v="421"/>
    <n v="410.53"/>
    <s v="Rajkumar Hirani"/>
    <s v="VIJAY"/>
    <x v="6"/>
  </r>
  <r>
    <s v="M0140"/>
    <x v="422"/>
    <s v="Action"/>
    <x v="2"/>
    <x v="5"/>
    <x v="5"/>
    <s v="JANUARY"/>
    <n v="121"/>
    <n v="6.4"/>
    <x v="422"/>
    <n v="151"/>
    <s v="Bong Joon Ho"/>
    <s v="ROBERT DOWNEY JR."/>
    <x v="1"/>
  </r>
  <r>
    <s v="M0168"/>
    <x v="423"/>
    <s v="Sci-Fi"/>
    <x v="0"/>
    <x v="1"/>
    <x v="3"/>
    <s v="JANUARY"/>
    <n v="174"/>
    <n v="6.9"/>
    <x v="423"/>
    <n v="145.5"/>
    <s v="Denis Villeneuve"/>
    <s v="MAMMOOTTY"/>
    <x v="6"/>
  </r>
  <r>
    <s v="M0355"/>
    <x v="424"/>
    <s v="Sci-Fi"/>
    <x v="0"/>
    <x v="8"/>
    <x v="9"/>
    <s v="JANUARY"/>
    <n v="178"/>
    <n v="7.8"/>
    <x v="424"/>
    <n v="348.5"/>
    <s v="Greta Gerwig"/>
    <s v="DHANUSH"/>
    <x v="1"/>
  </r>
  <r>
    <s v="M0404"/>
    <x v="425"/>
    <s v="Thriller"/>
    <x v="6"/>
    <x v="4"/>
    <x v="7"/>
    <s v="MARCH"/>
    <n v="121"/>
    <n v="6.4"/>
    <x v="425"/>
    <n v="411.37"/>
    <s v="Anurag Kashyap"/>
    <s v="MAMMOOTTY"/>
    <x v="3"/>
  </r>
  <r>
    <s v="M0396"/>
    <x v="426"/>
    <s v="Horror"/>
    <x v="0"/>
    <x v="1"/>
    <x v="9"/>
    <s v="MAY"/>
    <n v="107"/>
    <n v="6.4"/>
    <x v="426"/>
    <n v="99.6"/>
    <s v="Lijo Jose Pellissery"/>
    <s v="MOHANLAL"/>
    <x v="3"/>
  </r>
  <r>
    <s v="M0573"/>
    <x v="427"/>
    <s v="Action"/>
    <x v="4"/>
    <x v="2"/>
    <x v="1"/>
    <s v="AUGUST"/>
    <n v="151"/>
    <n v="7"/>
    <x v="427"/>
    <n v="28.17"/>
    <s v="Lijo Jose Pellissery"/>
    <s v="VIJAY"/>
    <x v="2"/>
  </r>
  <r>
    <s v="M0279"/>
    <x v="428"/>
    <s v="Action"/>
    <x v="0"/>
    <x v="1"/>
    <x v="10"/>
    <s v="JULY"/>
    <n v="162"/>
    <n v="8.3000000000000007"/>
    <x v="428"/>
    <n v="311.79000000000002"/>
    <s v="Mani Ratnam"/>
    <s v="VIJAY"/>
    <x v="0"/>
  </r>
  <r>
    <s v="M0480"/>
    <x v="429"/>
    <s v="Horror"/>
    <x v="0"/>
    <x v="0"/>
    <x v="6"/>
    <s v="APRIL"/>
    <n v="139"/>
    <n v="6.9"/>
    <x v="429"/>
    <n v="745.16"/>
    <s v="Alfonso Cuarón"/>
    <s v="DHANUSH"/>
    <x v="0"/>
  </r>
  <r>
    <s v="M0101"/>
    <x v="430"/>
    <s v="Action"/>
    <x v="2"/>
    <x v="2"/>
    <x v="2"/>
    <s v="NOVEMBER"/>
    <n v="161"/>
    <n v="8.1999999999999993"/>
    <x v="430"/>
    <n v="26.3"/>
    <s v="S.S. Rajamouli"/>
    <s v="ALIA BHATT"/>
    <x v="4"/>
  </r>
  <r>
    <s v="M0306"/>
    <x v="431"/>
    <s v="Drama"/>
    <x v="5"/>
    <x v="3"/>
    <x v="7"/>
    <s v="OCTOBER"/>
    <n v="85"/>
    <n v="6.9"/>
    <x v="431"/>
    <n v="827.18"/>
    <s v="Rajkumar Hirani"/>
    <s v="CHRISTIAN BALE"/>
    <x v="1"/>
  </r>
  <r>
    <s v="M0595"/>
    <x v="432"/>
    <s v="Crime"/>
    <x v="0"/>
    <x v="2"/>
    <x v="5"/>
    <s v="OCTOBER"/>
    <n v="110"/>
    <n v="6.1"/>
    <x v="432"/>
    <n v="387.04"/>
    <s v="Rajkumar Hirani"/>
    <s v="DHANUSH"/>
    <x v="4"/>
  </r>
  <r>
    <s v="M0311"/>
    <x v="433"/>
    <s v="Drama"/>
    <x v="2"/>
    <x v="7"/>
    <x v="6"/>
    <s v="MARCH"/>
    <n v="145"/>
    <n v="8"/>
    <x v="433"/>
    <n v="819.44"/>
    <s v="Rajkumar Hirani"/>
    <s v="ROBERT DOWNEY JR."/>
    <x v="3"/>
  </r>
  <r>
    <s v="M0572"/>
    <x v="434"/>
    <s v="Drama"/>
    <x v="2"/>
    <x v="4"/>
    <x v="10"/>
    <s v="APRIL"/>
    <n v="161"/>
    <n v="7.4"/>
    <x v="434"/>
    <n v="144.26"/>
    <s v="Mani Ratnam"/>
    <s v="SURIYA"/>
    <x v="3"/>
  </r>
  <r>
    <s v="M0322"/>
    <x v="435"/>
    <s v="Mystery"/>
    <x v="3"/>
    <x v="4"/>
    <x v="10"/>
    <s v="OCTOBER"/>
    <n v="146"/>
    <n v="6.9"/>
    <x v="435"/>
    <n v="191.71"/>
    <s v="Martin Scorsese"/>
    <s v="SHAH RUKH KHAN"/>
    <x v="4"/>
  </r>
  <r>
    <s v="M0269"/>
    <x v="436"/>
    <s v="Thriller"/>
    <x v="6"/>
    <x v="9"/>
    <x v="1"/>
    <s v="MARCH"/>
    <n v="98"/>
    <n v="6.3"/>
    <x v="436"/>
    <n v="534.58000000000004"/>
    <s v="Alfonso Cuarón"/>
    <s v="NANI"/>
    <x v="6"/>
  </r>
  <r>
    <s v="M0467"/>
    <x v="437"/>
    <s v="Sci-Fi"/>
    <x v="0"/>
    <x v="5"/>
    <x v="8"/>
    <s v="JANUARY"/>
    <n v="103"/>
    <n v="6.5"/>
    <x v="437"/>
    <n v="104.62"/>
    <s v="Anurag Kashyap"/>
    <s v="NANI"/>
    <x v="2"/>
  </r>
  <r>
    <s v="M0600"/>
    <x v="438"/>
    <s v="Romance"/>
    <x v="0"/>
    <x v="9"/>
    <x v="3"/>
    <s v="DECEMBER"/>
    <n v="144"/>
    <n v="7.4"/>
    <x v="438"/>
    <n v="157.53"/>
    <s v="Bong Joon Ho"/>
    <s v="SHAH RUKH KHAN"/>
    <x v="0"/>
  </r>
  <r>
    <s v="M0155"/>
    <x v="439"/>
    <s v="Action"/>
    <x v="0"/>
    <x v="1"/>
    <x v="1"/>
    <s v="APRIL"/>
    <n v="111"/>
    <n v="8.1"/>
    <x v="439"/>
    <n v="828.18"/>
    <s v="Jeethu Joseph"/>
    <s v="LEONARDO DICAPRIO"/>
    <x v="0"/>
  </r>
  <r>
    <s v="M0132"/>
    <x v="440"/>
    <s v="Action"/>
    <x v="0"/>
    <x v="5"/>
    <x v="1"/>
    <s v="OCTOBER"/>
    <n v="156"/>
    <n v="6.5"/>
    <x v="440"/>
    <n v="251.25"/>
    <s v="Greta Gerwig"/>
    <s v="SHAH RUKH KHAN"/>
    <x v="2"/>
  </r>
  <r>
    <s v="M0231"/>
    <x v="441"/>
    <s v="Drama"/>
    <x v="0"/>
    <x v="1"/>
    <x v="8"/>
    <s v="JULY"/>
    <n v="183"/>
    <n v="7.4"/>
    <x v="441"/>
    <n v="503.24"/>
    <s v="Martin Scorsese"/>
    <s v="MAMMOOTTY"/>
    <x v="1"/>
  </r>
  <r>
    <s v="M0375"/>
    <x v="442"/>
    <s v="Comedy"/>
    <x v="4"/>
    <x v="4"/>
    <x v="4"/>
    <s v="JUNE"/>
    <n v="93"/>
    <n v="5.5"/>
    <x v="442"/>
    <n v="306.27"/>
    <s v="Bong Joon Ho"/>
    <s v="TOM HOLLAND"/>
    <x v="0"/>
  </r>
  <r>
    <s v="M0271"/>
    <x v="443"/>
    <s v="Comedy"/>
    <x v="5"/>
    <x v="2"/>
    <x v="8"/>
    <s v="FEBRUARY"/>
    <n v="140"/>
    <n v="6.9"/>
    <x v="443"/>
    <n v="849.23"/>
    <s v="Zoya Akhtar"/>
    <s v="RYAN GOSLING"/>
    <x v="6"/>
  </r>
  <r>
    <s v="M0115"/>
    <x v="444"/>
    <s v="Adventure"/>
    <x v="6"/>
    <x v="2"/>
    <x v="3"/>
    <s v="APRIL"/>
    <n v="121"/>
    <n v="6.4"/>
    <x v="444"/>
    <n v="433.04"/>
    <s v="Anurag Kashyap"/>
    <s v="DHANUSH"/>
    <x v="0"/>
  </r>
  <r>
    <s v="M0403"/>
    <x v="445"/>
    <s v="Romance"/>
    <x v="6"/>
    <x v="3"/>
    <x v="0"/>
    <s v="APRIL"/>
    <n v="103"/>
    <n v="7.9"/>
    <x v="445"/>
    <n v="544.57000000000005"/>
    <s v="Alfonso Cuarón"/>
    <s v="RAJINIKANTH"/>
    <x v="0"/>
  </r>
  <r>
    <s v="M0218"/>
    <x v="446"/>
    <s v="Sci-Fi"/>
    <x v="0"/>
    <x v="5"/>
    <x v="8"/>
    <s v="FEBRUARY"/>
    <n v="104"/>
    <n v="6.9"/>
    <x v="446"/>
    <n v="167.73"/>
    <s v="Rajkumar Hirani"/>
    <s v="RYAN GOSLING"/>
    <x v="4"/>
  </r>
  <r>
    <s v="M0596"/>
    <x v="447"/>
    <s v="Thriller"/>
    <x v="0"/>
    <x v="1"/>
    <x v="7"/>
    <s v="AUGUST"/>
    <n v="144"/>
    <n v="7.2"/>
    <x v="447"/>
    <n v="16.489999999999998"/>
    <s v="Vetrimaaran"/>
    <s v="DULQUER SALMAAN"/>
    <x v="3"/>
  </r>
  <r>
    <s v="M0288"/>
    <x v="448"/>
    <s v="Animation"/>
    <x v="0"/>
    <x v="5"/>
    <x v="9"/>
    <s v="JULY"/>
    <n v="96"/>
    <n v="6.7"/>
    <x v="448"/>
    <n v="126.77"/>
    <s v="Vetrimaaran"/>
    <s v="NANI"/>
    <x v="1"/>
  </r>
  <r>
    <s v="M0091"/>
    <x v="449"/>
    <s v="Horror"/>
    <x v="0"/>
    <x v="1"/>
    <x v="8"/>
    <s v="OCTOBER"/>
    <n v="95"/>
    <n v="7.5"/>
    <x v="449"/>
    <n v="825.09"/>
    <s v="Mani Ratnam"/>
    <s v="SURIYA"/>
    <x v="3"/>
  </r>
  <r>
    <s v="M0211"/>
    <x v="450"/>
    <s v="Drama"/>
    <x v="6"/>
    <x v="0"/>
    <x v="5"/>
    <s v="FEBRUARY"/>
    <n v="158"/>
    <n v="7"/>
    <x v="450"/>
    <n v="140.37"/>
    <s v="Jeethu Joseph"/>
    <s v="LEONARDO DICAPRIO"/>
    <x v="2"/>
  </r>
  <r>
    <s v="M0227"/>
    <x v="451"/>
    <s v="Romance"/>
    <x v="6"/>
    <x v="5"/>
    <x v="8"/>
    <s v="JANUARY"/>
    <n v="175"/>
    <n v="6.6"/>
    <x v="451"/>
    <n v="266.42"/>
    <s v="Greta Gerwig"/>
    <s v="DULQUER SALMAAN"/>
    <x v="0"/>
  </r>
  <r>
    <s v="M0584"/>
    <x v="452"/>
    <s v="Animation"/>
    <x v="0"/>
    <x v="5"/>
    <x v="0"/>
    <s v="APRIL"/>
    <n v="110"/>
    <n v="7.3"/>
    <x v="452"/>
    <n v="745.99"/>
    <s v="Anurag Kashyap"/>
    <s v="DHANUSH"/>
    <x v="1"/>
  </r>
  <r>
    <s v="M0237"/>
    <x v="453"/>
    <s v="Animation"/>
    <x v="0"/>
    <x v="5"/>
    <x v="1"/>
    <s v="JULY"/>
    <n v="96"/>
    <n v="6.9"/>
    <x v="453"/>
    <n v="175.6"/>
    <s v="Lokesh Kanagaraj"/>
    <s v="DULQUER SALMAAN"/>
    <x v="0"/>
  </r>
  <r>
    <s v="M0397"/>
    <x v="454"/>
    <s v="Mystery"/>
    <x v="0"/>
    <x v="2"/>
    <x v="0"/>
    <s v="JUNE"/>
    <n v="146"/>
    <n v="7.1"/>
    <x v="454"/>
    <n v="495.38"/>
    <s v="Zoya Akhtar"/>
    <s v="CHRISTIAN BALE"/>
    <x v="1"/>
  </r>
  <r>
    <s v="M0358"/>
    <x v="455"/>
    <s v="Drama"/>
    <x v="5"/>
    <x v="5"/>
    <x v="8"/>
    <s v="SEPTEMBER"/>
    <n v="112"/>
    <n v="7"/>
    <x v="455"/>
    <n v="1344.29"/>
    <s v="Vetrimaaran"/>
    <s v="SHAH RUKH KHAN"/>
    <x v="0"/>
  </r>
  <r>
    <s v="M0351"/>
    <x v="456"/>
    <s v="Action"/>
    <x v="1"/>
    <x v="6"/>
    <x v="2"/>
    <s v="AUGUST"/>
    <n v="85"/>
    <n v="7.3"/>
    <x v="456"/>
    <n v="44.43"/>
    <s v="Alfonso Cuarón"/>
    <s v="RANBIR KAPOOR"/>
    <x v="5"/>
  </r>
  <r>
    <s v="M0300"/>
    <x v="457"/>
    <s v="Romance"/>
    <x v="0"/>
    <x v="4"/>
    <x v="7"/>
    <s v="AUGUST"/>
    <n v="142"/>
    <n v="6.6"/>
    <x v="457"/>
    <n v="788.73"/>
    <s v="Lokesh Kanagaraj"/>
    <s v="MOHANLAL"/>
    <x v="4"/>
  </r>
  <r>
    <s v="M0152"/>
    <x v="458"/>
    <s v="Drama"/>
    <x v="9"/>
    <x v="2"/>
    <x v="10"/>
    <s v="MARCH"/>
    <n v="183"/>
    <n v="8"/>
    <x v="458"/>
    <n v="1411.61"/>
    <s v="Vetrimaaran"/>
    <s v="DHANUSH"/>
    <x v="4"/>
  </r>
  <r>
    <s v="M0501"/>
    <x v="459"/>
    <s v="Action"/>
    <x v="1"/>
    <x v="2"/>
    <x v="10"/>
    <s v="MAY"/>
    <n v="123"/>
    <n v="8.4"/>
    <x v="459"/>
    <n v="496.84"/>
    <s v="Lijo Jose Pellissery"/>
    <s v="SHAH RUKH KHAN"/>
    <x v="4"/>
  </r>
  <r>
    <s v="M0365"/>
    <x v="460"/>
    <s v="Comedy"/>
    <x v="6"/>
    <x v="2"/>
    <x v="0"/>
    <s v="AUGUST"/>
    <n v="135"/>
    <n v="6.9"/>
    <x v="460"/>
    <n v="1075.01"/>
    <s v="Rajkumar Hirani"/>
    <s v="ALIA BHATT"/>
    <x v="2"/>
  </r>
  <r>
    <s v="M0095"/>
    <x v="461"/>
    <s v="Comedy"/>
    <x v="0"/>
    <x v="2"/>
    <x v="2"/>
    <s v="FEBRUARY"/>
    <n v="140"/>
    <n v="7.5"/>
    <x v="461"/>
    <n v="134.43"/>
    <s v="Bong Joon Ho"/>
    <s v="RAJINIKANTH"/>
    <x v="2"/>
  </r>
  <r>
    <s v="M0356"/>
    <x v="462"/>
    <s v="Drama"/>
    <x v="5"/>
    <x v="4"/>
    <x v="4"/>
    <s v="SEPTEMBER"/>
    <n v="180"/>
    <n v="7.5"/>
    <x v="462"/>
    <n v="158.18"/>
    <s v="Martin Scorsese"/>
    <s v="SHAH RUKH KHAN"/>
    <x v="6"/>
  </r>
  <r>
    <s v="M0482"/>
    <x v="463"/>
    <s v="Action"/>
    <x v="2"/>
    <x v="5"/>
    <x v="2"/>
    <s v="MARCH"/>
    <n v="123"/>
    <n v="7.8"/>
    <x v="463"/>
    <n v="922.63"/>
    <s v="Alfonso Cuarón"/>
    <s v="SHAH RUKH KHAN"/>
    <x v="2"/>
  </r>
  <r>
    <s v="M0345"/>
    <x v="464"/>
    <s v="Mystery"/>
    <x v="0"/>
    <x v="0"/>
    <x v="1"/>
    <s v="FEBRUARY"/>
    <n v="183"/>
    <n v="7"/>
    <x v="464"/>
    <n v="472.43"/>
    <s v="Mani Ratnam"/>
    <s v="MAMMOOTTY"/>
    <x v="5"/>
  </r>
  <r>
    <s v="M0565"/>
    <x v="465"/>
    <s v="Action"/>
    <x v="6"/>
    <x v="7"/>
    <x v="0"/>
    <s v="JANUARY"/>
    <n v="110"/>
    <n v="8.3000000000000007"/>
    <x v="465"/>
    <n v="1004.43"/>
    <s v="Lokesh Kanagaraj"/>
    <s v="RYAN GOSLING"/>
    <x v="5"/>
  </r>
  <r>
    <s v="M0264"/>
    <x v="466"/>
    <s v="Action"/>
    <x v="1"/>
    <x v="5"/>
    <x v="8"/>
    <s v="DECEMBER"/>
    <n v="102"/>
    <n v="7.7"/>
    <x v="466"/>
    <n v="312.61"/>
    <s v="S.S. Rajamouli"/>
    <s v="MAMMOOTTY"/>
    <x v="0"/>
  </r>
  <r>
    <s v="M0260"/>
    <x v="467"/>
    <s v="Action"/>
    <x v="0"/>
    <x v="1"/>
    <x v="2"/>
    <s v="MAY"/>
    <n v="101"/>
    <n v="7"/>
    <x v="467"/>
    <n v="460.75"/>
    <s v="Rajkumar Hirani"/>
    <s v="LEONARDO DICAPRIO"/>
    <x v="2"/>
  </r>
  <r>
    <s v="M0574"/>
    <x v="468"/>
    <s v="Action"/>
    <x v="5"/>
    <x v="4"/>
    <x v="4"/>
    <s v="APRIL"/>
    <n v="102"/>
    <n v="7.6"/>
    <x v="468"/>
    <n v="21.41"/>
    <s v="Greta Gerwig"/>
    <s v="NANI"/>
    <x v="3"/>
  </r>
  <r>
    <s v="M0560"/>
    <x v="469"/>
    <s v="Action"/>
    <x v="0"/>
    <x v="7"/>
    <x v="6"/>
    <s v="MAY"/>
    <n v="96"/>
    <n v="7.8"/>
    <x v="469"/>
    <n v="1115.0999999999999"/>
    <s v="Lijo Jose Pellissery"/>
    <s v="SURIYA"/>
    <x v="3"/>
  </r>
  <r>
    <s v="M0446"/>
    <x v="470"/>
    <s v="Fantasy"/>
    <x v="9"/>
    <x v="1"/>
    <x v="6"/>
    <s v="SEPTEMBER"/>
    <n v="181"/>
    <n v="6.7"/>
    <x v="470"/>
    <n v="612.88"/>
    <s v="Lokesh Kanagaraj"/>
    <s v="NANI"/>
    <x v="1"/>
  </r>
  <r>
    <s v="M0377"/>
    <x v="471"/>
    <s v="Romance"/>
    <x v="6"/>
    <x v="5"/>
    <x v="7"/>
    <s v="MARCH"/>
    <n v="149"/>
    <n v="7.7"/>
    <x v="471"/>
    <n v="616.69000000000005"/>
    <s v="Mani Ratnam"/>
    <s v="VIJAY"/>
    <x v="1"/>
  </r>
  <r>
    <s v="M0251"/>
    <x v="472"/>
    <s v="Fantasy"/>
    <x v="4"/>
    <x v="2"/>
    <x v="10"/>
    <s v="JUNE"/>
    <n v="143"/>
    <n v="7.2"/>
    <x v="472"/>
    <n v="652.74"/>
    <s v="Christopher Nolan"/>
    <s v="CHRISTIAN BALE"/>
    <x v="3"/>
  </r>
  <r>
    <s v="M0119"/>
    <x v="473"/>
    <s v="Thriller"/>
    <x v="2"/>
    <x v="9"/>
    <x v="10"/>
    <s v="OCTOBER"/>
    <n v="89"/>
    <n v="6.3"/>
    <x v="473"/>
    <n v="557.33000000000004"/>
    <s v="Greta Gerwig"/>
    <s v="NANI"/>
    <x v="2"/>
  </r>
  <r>
    <s v="M0037"/>
    <x v="474"/>
    <s v="Animation"/>
    <x v="0"/>
    <x v="5"/>
    <x v="5"/>
    <s v="APRIL"/>
    <n v="119"/>
    <n v="7.1"/>
    <x v="474"/>
    <n v="85.33"/>
    <s v="Bong Joon Ho"/>
    <s v="PRABHAS"/>
    <x v="0"/>
  </r>
  <r>
    <s v="M0335"/>
    <x v="475"/>
    <s v="Sci-Fi"/>
    <x v="0"/>
    <x v="5"/>
    <x v="0"/>
    <s v="NOVEMBER"/>
    <n v="117"/>
    <n v="8.3000000000000007"/>
    <x v="475"/>
    <n v="187.61"/>
    <s v="Rajkumar Hirani"/>
    <s v="ROBERT DOWNEY JR."/>
    <x v="6"/>
  </r>
  <r>
    <s v="M0538"/>
    <x v="476"/>
    <s v="Sci-Fi"/>
    <x v="0"/>
    <x v="5"/>
    <x v="10"/>
    <s v="JULY"/>
    <n v="137"/>
    <n v="7.6"/>
    <x v="476"/>
    <n v="753.78"/>
    <s v="Christopher Nolan"/>
    <s v="SHAH RUKH KHAN"/>
    <x v="4"/>
  </r>
  <r>
    <s v="M0463"/>
    <x v="477"/>
    <s v="Sci-Fi"/>
    <x v="3"/>
    <x v="4"/>
    <x v="8"/>
    <s v="OCTOBER"/>
    <n v="96"/>
    <n v="7.6"/>
    <x v="477"/>
    <n v="403.07"/>
    <s v="Rajkumar Hirani"/>
    <s v="TOM HOLLAND"/>
    <x v="5"/>
  </r>
  <r>
    <s v="M0593"/>
    <x v="478"/>
    <s v="Mystery"/>
    <x v="0"/>
    <x v="3"/>
    <x v="6"/>
    <s v="JULY"/>
    <n v="121"/>
    <n v="7.4"/>
    <x v="478"/>
    <n v="22.93"/>
    <s v="Lokesh Kanagaraj"/>
    <s v="RAJINIKANTH"/>
    <x v="0"/>
  </r>
  <r>
    <s v="M0001"/>
    <x v="479"/>
    <s v="Action"/>
    <x v="1"/>
    <x v="2"/>
    <x v="0"/>
    <s v="MARCH"/>
    <n v="179"/>
    <n v="8.1999999999999993"/>
    <x v="479"/>
    <n v="85.45"/>
    <s v="Rajkumar Hirani"/>
    <s v="PRABHAS"/>
    <x v="3"/>
  </r>
  <r>
    <s v="M0042"/>
    <x v="480"/>
    <s v="Action"/>
    <x v="5"/>
    <x v="2"/>
    <x v="6"/>
    <s v="NOVEMBER"/>
    <n v="90"/>
    <n v="8.5"/>
    <x v="480"/>
    <n v="23.83"/>
    <s v="Denis Villeneuve"/>
    <s v="VIJAY"/>
    <x v="1"/>
  </r>
  <r>
    <s v="M0035"/>
    <x v="481"/>
    <s v="Animation"/>
    <x v="8"/>
    <x v="5"/>
    <x v="9"/>
    <s v="APRIL"/>
    <n v="100"/>
    <n v="5.9"/>
    <x v="481"/>
    <n v="607.73"/>
    <s v="Alfonso Cuarón"/>
    <s v="SHAH RUKH KHAN"/>
    <x v="4"/>
  </r>
  <r>
    <s v="M0145"/>
    <x v="482"/>
    <s v="Mystery"/>
    <x v="0"/>
    <x v="2"/>
    <x v="7"/>
    <s v="NOVEMBER"/>
    <n v="117"/>
    <n v="7.2"/>
    <x v="482"/>
    <n v="912.13"/>
    <s v="Lokesh Kanagaraj"/>
    <s v="DHANUSH"/>
    <x v="3"/>
  </r>
  <r>
    <s v="M0577"/>
    <x v="483"/>
    <s v="Romance"/>
    <x v="6"/>
    <x v="5"/>
    <x v="1"/>
    <s v="AUGUST"/>
    <n v="113"/>
    <n v="8.1"/>
    <x v="483"/>
    <n v="294.38"/>
    <s v="Mani Ratnam"/>
    <s v="RAJINIKANTH"/>
    <x v="1"/>
  </r>
  <r>
    <s v="M0069"/>
    <x v="484"/>
    <s v="Thriller"/>
    <x v="2"/>
    <x v="9"/>
    <x v="2"/>
    <s v="JULY"/>
    <n v="103"/>
    <n v="7.2"/>
    <x v="484"/>
    <n v="384.95"/>
    <s v="Denis Villeneuve"/>
    <s v="DHANUSH"/>
    <x v="5"/>
  </r>
  <r>
    <s v="M0330"/>
    <x v="485"/>
    <s v="Romance"/>
    <x v="0"/>
    <x v="5"/>
    <x v="7"/>
    <s v="JANUARY"/>
    <n v="107"/>
    <n v="7.6"/>
    <x v="485"/>
    <n v="940.51"/>
    <s v="Alfonso Cuarón"/>
    <s v="ROBERT DOWNEY JR."/>
    <x v="2"/>
  </r>
  <r>
    <s v="M0455"/>
    <x v="486"/>
    <s v="Sci-Fi"/>
    <x v="0"/>
    <x v="3"/>
    <x v="7"/>
    <s v="MAY"/>
    <n v="157"/>
    <n v="8.1"/>
    <x v="486"/>
    <n v="458.65"/>
    <s v="S.S. Rajamouli"/>
    <s v="LEONARDO DICAPRIO"/>
    <x v="2"/>
  </r>
  <r>
    <s v="M0338"/>
    <x v="487"/>
    <s v="Animation"/>
    <x v="0"/>
    <x v="5"/>
    <x v="3"/>
    <s v="OCTOBER"/>
    <n v="140"/>
    <n v="5.9"/>
    <x v="487"/>
    <n v="703.15"/>
    <s v="Mani Ratnam"/>
    <s v="RYAN GOSLING"/>
    <x v="4"/>
  </r>
  <r>
    <s v="M0553"/>
    <x v="488"/>
    <s v="Romance"/>
    <x v="3"/>
    <x v="5"/>
    <x v="9"/>
    <s v="MARCH"/>
    <n v="87"/>
    <n v="7.1"/>
    <x v="488"/>
    <n v="1194.2"/>
    <s v="Rajkumar Hirani"/>
    <s v="RYAN GOSLING"/>
    <x v="2"/>
  </r>
  <r>
    <s v="M0238"/>
    <x v="489"/>
    <s v="Thriller"/>
    <x v="0"/>
    <x v="5"/>
    <x v="3"/>
    <s v="MAY"/>
    <n v="96"/>
    <n v="8.3000000000000007"/>
    <x v="489"/>
    <n v="279.18"/>
    <s v="Vetrimaaran"/>
    <s v="FAHADH FAASIL"/>
    <x v="6"/>
  </r>
  <r>
    <s v="M0190"/>
    <x v="490"/>
    <s v="Action"/>
    <x v="0"/>
    <x v="6"/>
    <x v="7"/>
    <s v="AUGUST"/>
    <n v="106"/>
    <n v="6.3"/>
    <x v="490"/>
    <n v="872.15"/>
    <s v="S.S. Rajamouli"/>
    <s v="LEONARDO DICAPRIO"/>
    <x v="1"/>
  </r>
  <r>
    <s v="M0492"/>
    <x v="491"/>
    <s v="Horror"/>
    <x v="0"/>
    <x v="2"/>
    <x v="1"/>
    <s v="NOVEMBER"/>
    <n v="175"/>
    <n v="6.4"/>
    <x v="491"/>
    <n v="1007.37"/>
    <s v="Martin Scorsese"/>
    <s v="SHAH RUKH KHAN"/>
    <x v="5"/>
  </r>
  <r>
    <s v="M0585"/>
    <x v="492"/>
    <s v="Horror"/>
    <x v="0"/>
    <x v="5"/>
    <x v="6"/>
    <s v="MAY"/>
    <n v="141"/>
    <n v="6.7"/>
    <x v="492"/>
    <n v="582.39"/>
    <s v="Mani Ratnam"/>
    <s v="SHAH RUKH KHAN"/>
    <x v="0"/>
  </r>
  <r>
    <s v="M0550"/>
    <x v="493"/>
    <s v="Romance"/>
    <x v="2"/>
    <x v="4"/>
    <x v="8"/>
    <s v="MARCH"/>
    <n v="182"/>
    <n v="8.3000000000000007"/>
    <x v="493"/>
    <n v="494.51"/>
    <s v="Martin Scorsese"/>
    <s v="SHAH RUKH KHAN"/>
    <x v="4"/>
  </r>
  <r>
    <s v="M0258"/>
    <x v="494"/>
    <s v="Drama"/>
    <x v="3"/>
    <x v="9"/>
    <x v="3"/>
    <s v="JANUARY"/>
    <n v="85"/>
    <n v="7.6"/>
    <x v="494"/>
    <n v="412"/>
    <s v="Denis Villeneuve"/>
    <s v="FAHADH FAASIL"/>
    <x v="4"/>
  </r>
  <r>
    <s v="M0298"/>
    <x v="495"/>
    <s v="Mystery"/>
    <x v="0"/>
    <x v="3"/>
    <x v="8"/>
    <s v="AUGUST"/>
    <n v="127"/>
    <n v="5.8"/>
    <x v="495"/>
    <n v="175.48"/>
    <s v="S.S. Rajamouli"/>
    <s v="MOHANLAL"/>
    <x v="2"/>
  </r>
  <r>
    <s v="M0194"/>
    <x v="496"/>
    <s v="Mystery"/>
    <x v="4"/>
    <x v="2"/>
    <x v="5"/>
    <s v="SEPTEMBER"/>
    <n v="171"/>
    <n v="6.3"/>
    <x v="496"/>
    <n v="185.76"/>
    <s v="Lijo Jose Pellissery"/>
    <s v="LEONARDO DICAPRIO"/>
    <x v="4"/>
  </r>
  <r>
    <s v="M0409"/>
    <x v="497"/>
    <s v="Crime"/>
    <x v="6"/>
    <x v="0"/>
    <x v="2"/>
    <s v="FEBRUARY"/>
    <n v="159"/>
    <n v="9.3000000000000007"/>
    <x v="497"/>
    <n v="1381.87"/>
    <s v="Vetrimaaran"/>
    <s v="RYAN GOSLING"/>
    <x v="6"/>
  </r>
  <r>
    <s v="M0349"/>
    <x v="498"/>
    <s v="Romance"/>
    <x v="0"/>
    <x v="2"/>
    <x v="2"/>
    <s v="SEPTEMBER"/>
    <n v="185"/>
    <n v="6.8"/>
    <x v="498"/>
    <n v="231.89"/>
    <s v="Vetrimaaran"/>
    <s v="VIJAY"/>
    <x v="6"/>
  </r>
  <r>
    <s v="M0039"/>
    <x v="499"/>
    <s v="Thriller"/>
    <x v="0"/>
    <x v="0"/>
    <x v="9"/>
    <s v="DECEMBER"/>
    <n v="179"/>
    <n v="6.2"/>
    <x v="499"/>
    <n v="323.54000000000002"/>
    <s v="Christopher Nolan"/>
    <s v="DHANUSH"/>
    <x v="5"/>
  </r>
  <r>
    <s v="M0498"/>
    <x v="500"/>
    <s v="Fantasy"/>
    <x v="0"/>
    <x v="1"/>
    <x v="10"/>
    <s v="APRIL"/>
    <n v="103"/>
    <n v="6.4"/>
    <x v="500"/>
    <n v="331.64"/>
    <s v="Anurag Kashyap"/>
    <s v="ALIA BHATT"/>
    <x v="6"/>
  </r>
  <r>
    <s v="M0108"/>
    <x v="501"/>
    <s v="Comedy"/>
    <x v="3"/>
    <x v="1"/>
    <x v="7"/>
    <s v="JUNE"/>
    <n v="88"/>
    <n v="7.1"/>
    <x v="501"/>
    <n v="63.33"/>
    <s v="Anurag Kashyap"/>
    <s v="MOHANLAL"/>
    <x v="1"/>
  </r>
  <r>
    <s v="M0286"/>
    <x v="502"/>
    <s v="Animation"/>
    <x v="8"/>
    <x v="5"/>
    <x v="1"/>
    <s v="JULY"/>
    <n v="120"/>
    <n v="6.5"/>
    <x v="502"/>
    <n v="126.84"/>
    <s v="Christopher Nolan"/>
    <s v="RAJINIKANTH"/>
    <x v="5"/>
  </r>
  <r>
    <s v="M0082"/>
    <x v="503"/>
    <s v="Comedy"/>
    <x v="0"/>
    <x v="1"/>
    <x v="8"/>
    <s v="JUNE"/>
    <n v="87"/>
    <n v="7.2"/>
    <x v="503"/>
    <n v="111.84"/>
    <s v="Greta Gerwig"/>
    <s v="MAMMOOTTY"/>
    <x v="0"/>
  </r>
  <r>
    <s v="M0126"/>
    <x v="504"/>
    <s v="Action"/>
    <x v="1"/>
    <x v="2"/>
    <x v="3"/>
    <s v="MARCH"/>
    <n v="160"/>
    <n v="7"/>
    <x v="504"/>
    <n v="209.79"/>
    <s v="Zoya Akhtar"/>
    <s v="LEONARDO DICAPRIO"/>
    <x v="6"/>
  </r>
  <r>
    <s v="M0471"/>
    <x v="505"/>
    <s v="Action"/>
    <x v="3"/>
    <x v="2"/>
    <x v="2"/>
    <s v="MARCH"/>
    <n v="189"/>
    <n v="5.0999999999999996"/>
    <x v="505"/>
    <n v="591.66"/>
    <s v="Christopher Nolan"/>
    <s v="MAMMOOTTY"/>
    <x v="1"/>
  </r>
  <r>
    <s v="M0421"/>
    <x v="506"/>
    <s v="Comedy"/>
    <x v="0"/>
    <x v="2"/>
    <x v="7"/>
    <s v="JULY"/>
    <n v="171"/>
    <n v="6.8"/>
    <x v="506"/>
    <n v="114.01"/>
    <s v="Zoya Akhtar"/>
    <s v="SURIYA"/>
    <x v="5"/>
  </r>
  <r>
    <s v="M0184"/>
    <x v="507"/>
    <s v="Animation"/>
    <x v="0"/>
    <x v="5"/>
    <x v="6"/>
    <s v="JANUARY"/>
    <n v="128"/>
    <n v="7.7"/>
    <x v="507"/>
    <n v="179.39"/>
    <s v="Greta Gerwig"/>
    <s v="FAHADH FAASIL"/>
    <x v="1"/>
  </r>
  <r>
    <s v="M0247"/>
    <x v="508"/>
    <s v="Mystery"/>
    <x v="0"/>
    <x v="2"/>
    <x v="9"/>
    <s v="JULY"/>
    <n v="102"/>
    <n v="7.4"/>
    <x v="508"/>
    <n v="19.2"/>
    <s v="Zoya Akhtar"/>
    <s v="LEONARDO DICAPRIO"/>
    <x v="6"/>
  </r>
  <r>
    <s v="M0206"/>
    <x v="509"/>
    <s v="Drama"/>
    <x v="3"/>
    <x v="4"/>
    <x v="6"/>
    <s v="JANUARY"/>
    <n v="118"/>
    <n v="7.1"/>
    <x v="509"/>
    <n v="14.32"/>
    <s v="Greta Gerwig"/>
    <s v="DULQUER SALMAAN"/>
    <x v="4"/>
  </r>
  <r>
    <s v="M0268"/>
    <x v="510"/>
    <s v="Sci-Fi"/>
    <x v="0"/>
    <x v="1"/>
    <x v="6"/>
    <s v="JUNE"/>
    <n v="189"/>
    <n v="6.5"/>
    <x v="510"/>
    <n v="165.02"/>
    <s v="S.S. Rajamouli"/>
    <s v="DHANUSH"/>
    <x v="4"/>
  </r>
  <r>
    <s v="M0050"/>
    <x v="511"/>
    <s v="Romance"/>
    <x v="0"/>
    <x v="4"/>
    <x v="6"/>
    <s v="DECEMBER"/>
    <n v="153"/>
    <n v="6.8"/>
    <x v="511"/>
    <n v="360.75"/>
    <s v="S.S. Rajamouli"/>
    <s v="CHRISTIAN BALE"/>
    <x v="2"/>
  </r>
  <r>
    <s v="M0537"/>
    <x v="512"/>
    <s v="Animation"/>
    <x v="9"/>
    <x v="2"/>
    <x v="0"/>
    <s v="AUGUST"/>
    <n v="128"/>
    <n v="7.1"/>
    <x v="512"/>
    <n v="552.71"/>
    <s v="Martin Scorsese"/>
    <s v="RANBIR KAPOOR"/>
    <x v="4"/>
  </r>
  <r>
    <s v="M0587"/>
    <x v="513"/>
    <s v="Animation"/>
    <x v="0"/>
    <x v="4"/>
    <x v="6"/>
    <s v="FEBRUARY"/>
    <n v="131"/>
    <n v="7.7"/>
    <x v="513"/>
    <n v="419.37"/>
    <s v="Jeethu Joseph"/>
    <s v="VIJAY"/>
    <x v="2"/>
  </r>
  <r>
    <s v="M0540"/>
    <x v="514"/>
    <s v="Action"/>
    <x v="8"/>
    <x v="9"/>
    <x v="2"/>
    <s v="JANUARY"/>
    <n v="190"/>
    <n v="7.1"/>
    <x v="514"/>
    <n v="1101.4000000000001"/>
    <s v="Bong Joon Ho"/>
    <s v="DHANUSH"/>
    <x v="5"/>
  </r>
  <r>
    <s v="M0068"/>
    <x v="515"/>
    <s v="Sci-Fi"/>
    <x v="0"/>
    <x v="1"/>
    <x v="5"/>
    <s v="APRIL"/>
    <n v="180"/>
    <n v="6.2"/>
    <x v="515"/>
    <n v="160"/>
    <s v="Mani Ratnam"/>
    <s v="FAHADH FAASIL"/>
    <x v="6"/>
  </r>
  <r>
    <s v="M0559"/>
    <x v="516"/>
    <s v="Adventure"/>
    <x v="6"/>
    <x v="8"/>
    <x v="3"/>
    <s v="MARCH"/>
    <n v="85"/>
    <n v="8.8000000000000007"/>
    <x v="516"/>
    <n v="965.42"/>
    <s v="Vetrimaaran"/>
    <s v="PRABHAS"/>
    <x v="4"/>
  </r>
  <r>
    <s v="M0346"/>
    <x v="517"/>
    <s v="Animation"/>
    <x v="0"/>
    <x v="9"/>
    <x v="4"/>
    <s v="NOVEMBER"/>
    <n v="178"/>
    <n v="6.5"/>
    <x v="517"/>
    <n v="836.78"/>
    <s v="S.S. Rajamouli"/>
    <s v="ROBERT DOWNEY JR."/>
    <x v="1"/>
  </r>
  <r>
    <s v="M0331"/>
    <x v="518"/>
    <s v="Drama"/>
    <x v="0"/>
    <x v="1"/>
    <x v="4"/>
    <s v="JANUARY"/>
    <n v="112"/>
    <n v="7.5"/>
    <x v="518"/>
    <n v="149.81"/>
    <s v="Vetrimaaran"/>
    <s v="NANI"/>
    <x v="3"/>
  </r>
  <r>
    <s v="M0343"/>
    <x v="519"/>
    <s v="Horror"/>
    <x v="0"/>
    <x v="3"/>
    <x v="6"/>
    <s v="MAY"/>
    <n v="119"/>
    <n v="7.8"/>
    <x v="519"/>
    <n v="108.1"/>
    <s v="Jeethu Joseph"/>
    <s v="RAJINIKANTH"/>
    <x v="2"/>
  </r>
  <r>
    <s v="M0162"/>
    <x v="520"/>
    <s v="Animation"/>
    <x v="0"/>
    <x v="3"/>
    <x v="2"/>
    <s v="APRIL"/>
    <n v="132"/>
    <n v="7.5"/>
    <x v="520"/>
    <n v="478.14"/>
    <s v="Bong Joon Ho"/>
    <s v="VIJAY"/>
    <x v="2"/>
  </r>
  <r>
    <s v="M0002"/>
    <x v="521"/>
    <s v="Action"/>
    <x v="3"/>
    <x v="2"/>
    <x v="9"/>
    <s v="JULY"/>
    <n v="113"/>
    <n v="7.9"/>
    <x v="521"/>
    <n v="921.9"/>
    <s v="Alfonso Cuarón"/>
    <s v="FAHADH FAASIL"/>
    <x v="2"/>
  </r>
  <r>
    <s v="M0308"/>
    <x v="522"/>
    <s v="Drama"/>
    <x v="3"/>
    <x v="5"/>
    <x v="4"/>
    <s v="NOVEMBER"/>
    <n v="150"/>
    <n v="7.5"/>
    <x v="522"/>
    <n v="397.69"/>
    <s v="S.S. Rajamouli"/>
    <s v="FAHADH FAASIL"/>
    <x v="0"/>
  </r>
  <r>
    <s v="M0514"/>
    <x v="523"/>
    <s v="Action"/>
    <x v="1"/>
    <x v="5"/>
    <x v="5"/>
    <s v="MARCH"/>
    <n v="175"/>
    <n v="8.6999999999999993"/>
    <x v="523"/>
    <n v="823.18"/>
    <s v="Christopher Nolan"/>
    <s v="SHAH RUKH KHAN"/>
    <x v="5"/>
  </r>
  <r>
    <s v="M0228"/>
    <x v="524"/>
    <s v="Drama"/>
    <x v="6"/>
    <x v="2"/>
    <x v="1"/>
    <s v="SEPTEMBER"/>
    <n v="146"/>
    <n v="5.5"/>
    <x v="524"/>
    <n v="414.16"/>
    <s v="Vetrimaaran"/>
    <s v="FAHADH FAASIL"/>
    <x v="6"/>
  </r>
  <r>
    <s v="M0508"/>
    <x v="525"/>
    <s v="Thriller"/>
    <x v="3"/>
    <x v="5"/>
    <x v="4"/>
    <s v="JULY"/>
    <n v="111"/>
    <n v="7.9"/>
    <x v="525"/>
    <n v="350.58"/>
    <s v="Anurag Kashyap"/>
    <s v="FAHADH FAASIL"/>
    <x v="4"/>
  </r>
  <r>
    <s v="M0589"/>
    <x v="526"/>
    <s v="Romance"/>
    <x v="0"/>
    <x v="3"/>
    <x v="9"/>
    <s v="AUGUST"/>
    <n v="177"/>
    <n v="7.5"/>
    <x v="526"/>
    <n v="163.94"/>
    <s v="Jeethu Joseph"/>
    <s v="SHAH RUKH KHAN"/>
    <x v="4"/>
  </r>
  <r>
    <s v="M0353"/>
    <x v="527"/>
    <s v="Romance"/>
    <x v="6"/>
    <x v="5"/>
    <x v="4"/>
    <s v="JANUARY"/>
    <n v="110"/>
    <n v="7.6"/>
    <x v="527"/>
    <n v="919.56"/>
    <s v="Greta Gerwig"/>
    <s v="ALIA BHATT"/>
    <x v="2"/>
  </r>
  <r>
    <s v="M0296"/>
    <x v="528"/>
    <s v="Thriller"/>
    <x v="0"/>
    <x v="1"/>
    <x v="9"/>
    <s v="FEBRUARY"/>
    <n v="124"/>
    <n v="7.1"/>
    <x v="528"/>
    <n v="1285.6300000000001"/>
    <s v="Jeethu Joseph"/>
    <s v="SURIYA"/>
    <x v="1"/>
  </r>
  <r>
    <s v="M0531"/>
    <x v="529"/>
    <s v="Drama"/>
    <x v="0"/>
    <x v="1"/>
    <x v="0"/>
    <s v="OCTOBER"/>
    <n v="172"/>
    <n v="6.7"/>
    <x v="529"/>
    <n v="706.49"/>
    <s v="Bong Joon Ho"/>
    <s v="DHANUSH"/>
    <x v="4"/>
  </r>
  <r>
    <s v="M0006"/>
    <x v="530"/>
    <s v="Drama"/>
    <x v="8"/>
    <x v="4"/>
    <x v="2"/>
    <s v="JANUARY"/>
    <n v="114"/>
    <n v="6.2"/>
    <x v="530"/>
    <n v="29.02"/>
    <s v="Rajkumar Hirani"/>
    <s v="PRABHAS"/>
    <x v="5"/>
  </r>
  <r>
    <s v="M0304"/>
    <x v="531"/>
    <s v="Thriller"/>
    <x v="6"/>
    <x v="4"/>
    <x v="1"/>
    <s v="NOVEMBER"/>
    <n v="111"/>
    <n v="8"/>
    <x v="531"/>
    <n v="731.41"/>
    <s v="Lijo Jose Pellissery"/>
    <s v="SHAH RUKH KHAN"/>
    <x v="6"/>
  </r>
  <r>
    <s v="M0207"/>
    <x v="532"/>
    <s v="Action"/>
    <x v="4"/>
    <x v="2"/>
    <x v="9"/>
    <s v="SEPTEMBER"/>
    <n v="163"/>
    <n v="7.4"/>
    <x v="532"/>
    <n v="278.39"/>
    <s v="Greta Gerwig"/>
    <s v="RAJINIKANTH"/>
    <x v="3"/>
  </r>
  <r>
    <s v="M0221"/>
    <x v="533"/>
    <s v="Drama"/>
    <x v="3"/>
    <x v="1"/>
    <x v="4"/>
    <s v="APRIL"/>
    <n v="190"/>
    <n v="6.3"/>
    <x v="533"/>
    <n v="107.96"/>
    <s v="Christopher Nolan"/>
    <s v="MOHANLAL"/>
    <x v="5"/>
  </r>
  <r>
    <s v="M0154"/>
    <x v="534"/>
    <s v="Thriller"/>
    <x v="6"/>
    <x v="4"/>
    <x v="9"/>
    <s v="JULY"/>
    <n v="153"/>
    <n v="6.6"/>
    <x v="534"/>
    <n v="506.88"/>
    <s v="Lokesh Kanagaraj"/>
    <s v="ALIA BHATT"/>
    <x v="5"/>
  </r>
  <r>
    <s v="M0065"/>
    <x v="535"/>
    <s v="Drama"/>
    <x v="6"/>
    <x v="0"/>
    <x v="7"/>
    <s v="JUNE"/>
    <n v="109"/>
    <n v="7.8"/>
    <x v="535"/>
    <n v="359.29"/>
    <s v="Vetrimaaran"/>
    <s v="ROBERT DOWNEY JR."/>
    <x v="0"/>
  </r>
  <r>
    <s v="M0282"/>
    <x v="536"/>
    <s v="Action"/>
    <x v="0"/>
    <x v="5"/>
    <x v="10"/>
    <s v="MARCH"/>
    <n v="91"/>
    <n v="6.3"/>
    <x v="536"/>
    <n v="41.52"/>
    <s v="S.S. Rajamouli"/>
    <s v="ALIA BHATT"/>
    <x v="4"/>
  </r>
  <r>
    <s v="M0435"/>
    <x v="537"/>
    <s v="Animation"/>
    <x v="1"/>
    <x v="7"/>
    <x v="4"/>
    <s v="JUNE"/>
    <n v="93"/>
    <n v="7.5"/>
    <x v="537"/>
    <n v="143.21"/>
    <s v="Mani Ratnam"/>
    <s v="RANBIR KAPOOR"/>
    <x v="6"/>
  </r>
  <r>
    <s v="M0009"/>
    <x v="538"/>
    <s v="Adventure"/>
    <x v="0"/>
    <x v="5"/>
    <x v="6"/>
    <s v="NOVEMBER"/>
    <n v="153"/>
    <n v="7.2"/>
    <x v="538"/>
    <n v="110.13"/>
    <s v="Christopher Nolan"/>
    <s v="ALIA BHATT"/>
    <x v="4"/>
  </r>
  <r>
    <s v="M0034"/>
    <x v="539"/>
    <s v="Drama"/>
    <x v="0"/>
    <x v="7"/>
    <x v="0"/>
    <s v="DECEMBER"/>
    <n v="174"/>
    <n v="7"/>
    <x v="539"/>
    <n v="303.39"/>
    <s v="Lijo Jose Pellissery"/>
    <s v="MAMMOOTTY"/>
    <x v="1"/>
  </r>
  <r>
    <s v="M0122"/>
    <x v="540"/>
    <s v="Drama"/>
    <x v="6"/>
    <x v="4"/>
    <x v="3"/>
    <s v="MARCH"/>
    <n v="186"/>
    <n v="8.1999999999999993"/>
    <x v="540"/>
    <n v="206.75"/>
    <s v="Alfonso Cuarón"/>
    <s v="VIJAY"/>
    <x v="4"/>
  </r>
  <r>
    <s v="M0323"/>
    <x v="541"/>
    <s v="Action"/>
    <x v="4"/>
    <x v="2"/>
    <x v="3"/>
    <s v="APRIL"/>
    <n v="171"/>
    <n v="6.8"/>
    <x v="541"/>
    <n v="1018.07"/>
    <s v="Bong Joon Ho"/>
    <s v="ALIA BHATT"/>
    <x v="2"/>
  </r>
  <r>
    <s v="M0511"/>
    <x v="542"/>
    <s v="Mystery"/>
    <x v="0"/>
    <x v="2"/>
    <x v="5"/>
    <s v="SEPTEMBER"/>
    <n v="164"/>
    <n v="5.7"/>
    <x v="542"/>
    <n v="684.74"/>
    <s v="Denis Villeneuve"/>
    <s v="FAHADH FAASIL"/>
    <x v="1"/>
  </r>
  <r>
    <s v="M0182"/>
    <x v="543"/>
    <s v="Action"/>
    <x v="0"/>
    <x v="5"/>
    <x v="9"/>
    <s v="SEPTEMBER"/>
    <n v="159"/>
    <n v="8.3000000000000007"/>
    <x v="543"/>
    <n v="547.79"/>
    <s v="Mani Ratnam"/>
    <s v="CHRISTIAN BALE"/>
    <x v="2"/>
  </r>
  <r>
    <s v="M0410"/>
    <x v="544"/>
    <s v="Action"/>
    <x v="5"/>
    <x v="1"/>
    <x v="5"/>
    <s v="JANUARY"/>
    <n v="115"/>
    <n v="7.3"/>
    <x v="544"/>
    <n v="606.24"/>
    <s v="Bong Joon Ho"/>
    <s v="DHANUSH"/>
    <x v="0"/>
  </r>
  <r>
    <s v="M0064"/>
    <x v="545"/>
    <s v="Action"/>
    <x v="1"/>
    <x v="9"/>
    <x v="9"/>
    <s v="MAY"/>
    <n v="190"/>
    <n v="7.6"/>
    <x v="545"/>
    <n v="202.02"/>
    <s v="Zoya Akhtar"/>
    <s v="VIJAY"/>
    <x v="3"/>
  </r>
  <r>
    <s v="M0113"/>
    <x v="546"/>
    <s v="Action"/>
    <x v="3"/>
    <x v="4"/>
    <x v="6"/>
    <s v="OCTOBER"/>
    <n v="179"/>
    <n v="7.2"/>
    <x v="546"/>
    <n v="858.88"/>
    <s v="Zoya Akhtar"/>
    <s v="SHAH RUKH KHAN"/>
    <x v="5"/>
  </r>
  <r>
    <s v="M0161"/>
    <x v="547"/>
    <s v="Drama"/>
    <x v="0"/>
    <x v="1"/>
    <x v="8"/>
    <s v="DECEMBER"/>
    <n v="111"/>
    <n v="6.8"/>
    <x v="547"/>
    <n v="651.09"/>
    <s v="S.S. Rajamouli"/>
    <s v="ALIA BHATT"/>
    <x v="3"/>
  </r>
  <r>
    <s v="M0597"/>
    <x v="548"/>
    <s v="Comedy"/>
    <x v="0"/>
    <x v="2"/>
    <x v="8"/>
    <s v="DECEMBER"/>
    <n v="140"/>
    <n v="5.6"/>
    <x v="548"/>
    <n v="252.35"/>
    <s v="Jeethu Joseph"/>
    <s v="FAHADH FAASIL"/>
    <x v="5"/>
  </r>
  <r>
    <s v="M0417"/>
    <x v="549"/>
    <s v="Sci-Fi"/>
    <x v="0"/>
    <x v="2"/>
    <x v="5"/>
    <s v="DECEMBER"/>
    <n v="164"/>
    <n v="8.1"/>
    <x v="549"/>
    <n v="828.63"/>
    <s v="S.S. Rajamouli"/>
    <s v="VIJAY"/>
    <x v="2"/>
  </r>
  <r>
    <s v="M0287"/>
    <x v="550"/>
    <s v="Action"/>
    <x v="0"/>
    <x v="5"/>
    <x v="1"/>
    <s v="NOVEMBER"/>
    <n v="163"/>
    <n v="7.6"/>
    <x v="550"/>
    <n v="460.74"/>
    <s v="Greta Gerwig"/>
    <s v="RANBIR KAPOOR"/>
    <x v="3"/>
  </r>
  <r>
    <s v="M0389"/>
    <x v="551"/>
    <s v="Action"/>
    <x v="0"/>
    <x v="3"/>
    <x v="8"/>
    <s v="DECEMBER"/>
    <n v="165"/>
    <n v="6.9"/>
    <x v="551"/>
    <n v="1219.3900000000001"/>
    <s v="Anurag Kashyap"/>
    <s v="RAJINIKANTH"/>
    <x v="3"/>
  </r>
  <r>
    <s v="M0484"/>
    <x v="552"/>
    <s v="Animation"/>
    <x v="0"/>
    <x v="5"/>
    <x v="5"/>
    <s v="DECEMBER"/>
    <n v="106"/>
    <n v="7.3"/>
    <x v="552"/>
    <n v="314.83999999999997"/>
    <s v="Mani Ratnam"/>
    <s v="MAMMOOTTY"/>
    <x v="5"/>
  </r>
  <r>
    <s v="M0236"/>
    <x v="553"/>
    <s v="Animation"/>
    <x v="0"/>
    <x v="5"/>
    <x v="9"/>
    <s v="DECEMBER"/>
    <n v="178"/>
    <n v="9.1"/>
    <x v="553"/>
    <n v="182.1"/>
    <s v="Rajkumar Hirani"/>
    <s v="LEONARDO DICAPRIO"/>
    <x v="3"/>
  </r>
  <r>
    <s v="M0326"/>
    <x v="554"/>
    <s v="Horror"/>
    <x v="1"/>
    <x v="2"/>
    <x v="8"/>
    <s v="MAY"/>
    <n v="147"/>
    <n v="6.6"/>
    <x v="554"/>
    <n v="1707.46"/>
    <s v="Anurag Kashyap"/>
    <s v="RANBIR KAPOOR"/>
    <x v="1"/>
  </r>
  <r>
    <s v="M0134"/>
    <x v="555"/>
    <s v="Animation"/>
    <x v="0"/>
    <x v="5"/>
    <x v="7"/>
    <s v="MARCH"/>
    <n v="162"/>
    <n v="6.5"/>
    <x v="555"/>
    <n v="389.21"/>
    <s v="Lokesh Kanagaraj"/>
    <s v="DHANUSH"/>
    <x v="5"/>
  </r>
  <r>
    <s v="M0385"/>
    <x v="556"/>
    <s v="Action"/>
    <x v="0"/>
    <x v="5"/>
    <x v="7"/>
    <s v="AUGUST"/>
    <n v="148"/>
    <n v="7.1"/>
    <x v="556"/>
    <n v="280.23"/>
    <s v="Mani Ratnam"/>
    <s v="SURIYA"/>
    <x v="6"/>
  </r>
  <r>
    <s v="M0465"/>
    <x v="557"/>
    <s v="Drama"/>
    <x v="6"/>
    <x v="2"/>
    <x v="1"/>
    <s v="MARCH"/>
    <n v="118"/>
    <n v="6.9"/>
    <x v="557"/>
    <n v="617.47"/>
    <s v="Anurag Kashyap"/>
    <s v="FAHADH FAASIL"/>
    <x v="5"/>
  </r>
  <r>
    <s v="M0138"/>
    <x v="558"/>
    <s v="Animation"/>
    <x v="9"/>
    <x v="5"/>
    <x v="2"/>
    <s v="MARCH"/>
    <n v="143"/>
    <n v="6.5"/>
    <x v="558"/>
    <n v="275.8"/>
    <s v="Denis Villeneuve"/>
    <s v="ROBERT DOWNEY JR."/>
    <x v="1"/>
  </r>
  <r>
    <s v="M0029"/>
    <x v="559"/>
    <s v="Thriller"/>
    <x v="0"/>
    <x v="1"/>
    <x v="2"/>
    <s v="DECEMBER"/>
    <n v="185"/>
    <n v="6.8"/>
    <x v="559"/>
    <n v="209.44"/>
    <s v="S.S. Rajamouli"/>
    <s v="LEONARDO DICAPRIO"/>
    <x v="6"/>
  </r>
  <r>
    <s v="M0469"/>
    <x v="560"/>
    <s v="Thriller"/>
    <x v="2"/>
    <x v="9"/>
    <x v="8"/>
    <s v="JUNE"/>
    <n v="190"/>
    <n v="7.5"/>
    <x v="560"/>
    <n v="382.65"/>
    <s v="Lijo Jose Pellissery"/>
    <s v="FAHADH FAASIL"/>
    <x v="1"/>
  </r>
  <r>
    <s v="M0272"/>
    <x v="561"/>
    <s v="Drama"/>
    <x v="8"/>
    <x v="3"/>
    <x v="4"/>
    <s v="FEBRUARY"/>
    <n v="181"/>
    <n v="6.7"/>
    <x v="561"/>
    <n v="245.95"/>
    <s v="Christopher Nolan"/>
    <s v="CHRISTIAN BALE"/>
    <x v="3"/>
  </r>
  <r>
    <s v="M0241"/>
    <x v="562"/>
    <s v="Comedy"/>
    <x v="0"/>
    <x v="5"/>
    <x v="4"/>
    <s v="APRIL"/>
    <n v="188"/>
    <n v="7.3"/>
    <x v="562"/>
    <n v="918.47"/>
    <s v="Zoya Akhtar"/>
    <s v="ALIA BHATT"/>
    <x v="5"/>
  </r>
  <r>
    <s v="M0476"/>
    <x v="563"/>
    <s v="Animation"/>
    <x v="1"/>
    <x v="2"/>
    <x v="7"/>
    <s v="NOVEMBER"/>
    <n v="98"/>
    <n v="7.7"/>
    <x v="563"/>
    <n v="1541.46"/>
    <s v="Jeethu Joseph"/>
    <s v="CHRISTIAN BALE"/>
    <x v="0"/>
  </r>
  <r>
    <s v="M0249"/>
    <x v="564"/>
    <s v="Romance"/>
    <x v="7"/>
    <x v="2"/>
    <x v="2"/>
    <s v="MARCH"/>
    <n v="118"/>
    <n v="7.2"/>
    <x v="564"/>
    <n v="9.98"/>
    <s v="Zoya Akhtar"/>
    <s v="RANBIR KAPOOR"/>
    <x v="5"/>
  </r>
  <r>
    <s v="M0292"/>
    <x v="565"/>
    <s v="Drama"/>
    <x v="0"/>
    <x v="2"/>
    <x v="7"/>
    <s v="DECEMBER"/>
    <n v="127"/>
    <n v="7.6"/>
    <x v="565"/>
    <n v="27.59"/>
    <s v="Greta Gerwig"/>
    <s v="MOHANLAL"/>
    <x v="4"/>
  </r>
  <r>
    <s v="M0081"/>
    <x v="566"/>
    <s v="Romance"/>
    <x v="0"/>
    <x v="1"/>
    <x v="2"/>
    <s v="MARCH"/>
    <n v="185"/>
    <n v="7.2"/>
    <x v="566"/>
    <n v="1824.74"/>
    <s v="Alfonso Cuarón"/>
    <s v="FAHADH FAASIL"/>
    <x v="5"/>
  </r>
  <r>
    <s v="M0310"/>
    <x v="567"/>
    <s v="Mystery"/>
    <x v="0"/>
    <x v="1"/>
    <x v="3"/>
    <s v="JUNE"/>
    <n v="143"/>
    <n v="8.1999999999999993"/>
    <x v="567"/>
    <n v="347.38"/>
    <s v="Lokesh Kanagaraj"/>
    <s v="MAMMOOTTY"/>
    <x v="1"/>
  </r>
  <r>
    <s v="M0561"/>
    <x v="568"/>
    <s v="Drama"/>
    <x v="0"/>
    <x v="9"/>
    <x v="3"/>
    <s v="MAY"/>
    <n v="181"/>
    <n v="7"/>
    <x v="568"/>
    <n v="759.23"/>
    <s v="Denis Villeneuve"/>
    <s v="RAJINIKANTH"/>
    <x v="5"/>
  </r>
  <r>
    <s v="M0483"/>
    <x v="569"/>
    <s v="Action"/>
    <x v="0"/>
    <x v="2"/>
    <x v="2"/>
    <s v="SEPTEMBER"/>
    <n v="154"/>
    <n v="8.5"/>
    <x v="569"/>
    <n v="352.04"/>
    <s v="Vetrimaaran"/>
    <s v="DHANUSH"/>
    <x v="0"/>
  </r>
  <r>
    <s v="M0051"/>
    <x v="570"/>
    <s v="Romance"/>
    <x v="1"/>
    <x v="2"/>
    <x v="5"/>
    <s v="JANUARY"/>
    <n v="175"/>
    <n v="6.6"/>
    <x v="570"/>
    <n v="761.96"/>
    <s v="Martin Scorsese"/>
    <s v="ROBERT DOWNEY JR."/>
    <x v="4"/>
  </r>
  <r>
    <s v="M0275"/>
    <x v="571"/>
    <s v="Romance"/>
    <x v="5"/>
    <x v="4"/>
    <x v="8"/>
    <s v="OCTOBER"/>
    <n v="145"/>
    <n v="7.1"/>
    <x v="571"/>
    <n v="178.27"/>
    <s v="Christopher Nolan"/>
    <s v="RAJINIKANTH"/>
    <x v="4"/>
  </r>
  <r>
    <s v="M0487"/>
    <x v="572"/>
    <s v="Sci-Fi"/>
    <x v="0"/>
    <x v="5"/>
    <x v="0"/>
    <s v="APRIL"/>
    <n v="167"/>
    <n v="7.1"/>
    <x v="572"/>
    <n v="51.85"/>
    <s v="Lokesh Kanagaraj"/>
    <s v="TOM HOLLAND"/>
    <x v="2"/>
  </r>
  <r>
    <s v="M0185"/>
    <x v="573"/>
    <s v="Animation"/>
    <x v="0"/>
    <x v="5"/>
    <x v="10"/>
    <s v="NOVEMBER"/>
    <n v="108"/>
    <n v="7.1"/>
    <x v="573"/>
    <n v="45.41"/>
    <s v="Mani Ratnam"/>
    <s v="SURIYA"/>
    <x v="6"/>
  </r>
  <r>
    <s v="M0316"/>
    <x v="574"/>
    <s v="Romance"/>
    <x v="7"/>
    <x v="4"/>
    <x v="10"/>
    <s v="DECEMBER"/>
    <n v="102"/>
    <n v="8.3000000000000007"/>
    <x v="574"/>
    <n v="345.51"/>
    <s v="Mani Ratnam"/>
    <s v="FAHADH FAASIL"/>
    <x v="1"/>
  </r>
  <r>
    <s v="M0239"/>
    <x v="575"/>
    <s v="Action"/>
    <x v="0"/>
    <x v="3"/>
    <x v="5"/>
    <s v="OCTOBER"/>
    <n v="92"/>
    <n v="7.9"/>
    <x v="575"/>
    <n v="72.19"/>
    <s v="Alfonso Cuarón"/>
    <s v="RANBIR KAPOOR"/>
    <x v="6"/>
  </r>
  <r>
    <s v="M0305"/>
    <x v="576"/>
    <s v="Horror"/>
    <x v="0"/>
    <x v="8"/>
    <x v="5"/>
    <s v="OCTOBER"/>
    <n v="154"/>
    <n v="6.5"/>
    <x v="576"/>
    <n v="479.37"/>
    <s v="Greta Gerwig"/>
    <s v="ALIA BHATT"/>
    <x v="1"/>
  </r>
  <r>
    <s v="M0123"/>
    <x v="577"/>
    <s v="Action"/>
    <x v="4"/>
    <x v="2"/>
    <x v="7"/>
    <s v="SEPTEMBER"/>
    <n v="101"/>
    <n v="7"/>
    <x v="577"/>
    <n v="564.49"/>
    <s v="Greta Gerwig"/>
    <s v="SURIYA"/>
    <x v="4"/>
  </r>
  <r>
    <s v="M0234"/>
    <x v="578"/>
    <s v="Animation"/>
    <x v="7"/>
    <x v="5"/>
    <x v="3"/>
    <s v="APRIL"/>
    <n v="105"/>
    <n v="7.4"/>
    <x v="578"/>
    <n v="131.13999999999999"/>
    <s v="Christopher Nolan"/>
    <s v="RAJINIKANTH"/>
    <x v="6"/>
  </r>
  <r>
    <s v="M0254"/>
    <x v="579"/>
    <s v="Mystery"/>
    <x v="6"/>
    <x v="4"/>
    <x v="0"/>
    <s v="JUNE"/>
    <n v="177"/>
    <n v="7.6"/>
    <x v="579"/>
    <n v="250.43"/>
    <s v="Lijo Jose Pellissery"/>
    <s v="NANI"/>
    <x v="2"/>
  </r>
  <r>
    <s v="M0429"/>
    <x v="580"/>
    <s v="Drama"/>
    <x v="0"/>
    <x v="1"/>
    <x v="7"/>
    <s v="FEBRUARY"/>
    <n v="157"/>
    <n v="4.9000000000000004"/>
    <x v="580"/>
    <n v="596.13"/>
    <s v="Vetrimaaran"/>
    <s v="RYAN GOSLING"/>
    <x v="6"/>
  </r>
  <r>
    <s v="M0448"/>
    <x v="581"/>
    <s v="Crime"/>
    <x v="0"/>
    <x v="3"/>
    <x v="3"/>
    <s v="FEBRUARY"/>
    <n v="134"/>
    <n v="7.4"/>
    <x v="581"/>
    <n v="755.14"/>
    <s v="Anurag Kashyap"/>
    <s v="ALIA BHATT"/>
    <x v="3"/>
  </r>
  <r>
    <s v="M0203"/>
    <x v="582"/>
    <s v="Romance"/>
    <x v="6"/>
    <x v="5"/>
    <x v="6"/>
    <s v="MARCH"/>
    <n v="181"/>
    <n v="8.1"/>
    <x v="582"/>
    <n v="700.31"/>
    <s v="Jeethu Joseph"/>
    <s v="ALIA BHATT"/>
    <x v="1"/>
  </r>
  <r>
    <s v="M0512"/>
    <x v="583"/>
    <s v="Comedy"/>
    <x v="9"/>
    <x v="1"/>
    <x v="2"/>
    <s v="DECEMBER"/>
    <n v="152"/>
    <n v="8.6"/>
    <x v="583"/>
    <n v="58.83"/>
    <s v="Lokesh Kanagaraj"/>
    <s v="ROBERT DOWNEY JR."/>
    <x v="5"/>
  </r>
  <r>
    <s v="M0420"/>
    <x v="584"/>
    <s v="Horror"/>
    <x v="2"/>
    <x v="2"/>
    <x v="6"/>
    <s v="JANUARY"/>
    <n v="106"/>
    <n v="7.9"/>
    <x v="584"/>
    <n v="284.43"/>
    <s v="Anurag Kashyap"/>
    <s v="DHANUSH"/>
    <x v="2"/>
  </r>
  <r>
    <s v="M0121"/>
    <x v="585"/>
    <s v="Comedy"/>
    <x v="9"/>
    <x v="2"/>
    <x v="4"/>
    <s v="FEBRUARY"/>
    <n v="142"/>
    <n v="7.8"/>
    <x v="585"/>
    <n v="1478.45"/>
    <s v="Martin Scorsese"/>
    <s v="NANI"/>
    <x v="3"/>
  </r>
  <r>
    <s v="M0369"/>
    <x v="586"/>
    <s v="Thriller"/>
    <x v="2"/>
    <x v="5"/>
    <x v="3"/>
    <s v="JANUARY"/>
    <n v="133"/>
    <n v="6.2"/>
    <x v="586"/>
    <n v="78.599999999999994"/>
    <s v="Alfonso Cuarón"/>
    <s v="ALIA BHATT"/>
    <x v="0"/>
  </r>
  <r>
    <s v="M0049"/>
    <x v="587"/>
    <s v="Romance"/>
    <x v="0"/>
    <x v="2"/>
    <x v="0"/>
    <s v="MAY"/>
    <n v="169"/>
    <n v="6.5"/>
    <x v="587"/>
    <n v="652.41"/>
    <s v="Vetrimaaran"/>
    <s v="SHAH RUKH KHAN"/>
    <x v="2"/>
  </r>
  <r>
    <s v="M0208"/>
    <x v="588"/>
    <s v="Drama"/>
    <x v="3"/>
    <x v="5"/>
    <x v="10"/>
    <s v="DECEMBER"/>
    <n v="115"/>
    <n v="7.5"/>
    <x v="588"/>
    <n v="438.1"/>
    <s v="Mani Ratnam"/>
    <s v="LEONARDO DICAPRIO"/>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8">
  <r>
    <s v="M0568"/>
    <s v="Inception 568"/>
    <s v="Sci-Fi"/>
    <s v="English"/>
    <s v="HBO Max"/>
    <d v="1905-07-07T00:00:00"/>
    <s v="DECEMBER"/>
    <n v="113"/>
    <n v="7.2"/>
    <n v="50046"/>
    <n v="256.37"/>
    <s v="Vetrimaaran"/>
    <s v="TOM HOLLAND"/>
    <s v="U/A"/>
    <s v="Sci-Fi"/>
  </r>
  <r>
    <s v="M0276"/>
    <s v="Jigarthanda DoubleX 276"/>
    <s v="Action"/>
    <s v="Tamil"/>
    <s v="Netflix"/>
    <d v="1905-07-12T00:00:00"/>
    <s v="DECEMBER"/>
    <n v="98"/>
    <n v="6.5"/>
    <n v="48801"/>
    <n v="919.99"/>
    <s v="Rajkumar Hirani"/>
    <s v="ALIA BHATT"/>
    <s v="U/A"/>
    <s v="Action"/>
  </r>
  <r>
    <s v="M0293"/>
    <s v="A Quiet Place 293"/>
    <s v="Horror"/>
    <s v="English"/>
    <s v="Paramount+"/>
    <d v="1905-07-17T00:00:00"/>
    <s v="JULY"/>
    <n v="140"/>
    <n v="6.9"/>
    <n v="124852"/>
    <n v="686.33"/>
    <s v="Alfonso Cuarón"/>
    <s v="LEONARDO DICAPRIO"/>
    <s v="PG"/>
    <s v="Horror"/>
  </r>
  <r>
    <s v="M0120"/>
    <s v="Train to Busan 120"/>
    <s v="Horror"/>
    <s v="Korean"/>
    <s v="Netflix"/>
    <d v="1905-07-09T00:00:00"/>
    <s v="AUGUST"/>
    <n v="151"/>
    <n v="6.5"/>
    <n v="406585"/>
    <n v="363.18"/>
    <s v="Bong Joon Ho"/>
    <s v="SHAH RUKH KHAN"/>
    <s v="15"/>
    <s v="Horror"/>
  </r>
  <r>
    <s v="M0072"/>
    <s v="Dangal 72"/>
    <s v="Thriller"/>
    <s v="Hindi"/>
    <s v="Peacock"/>
    <d v="1905-07-11T00:00:00"/>
    <s v="JANUARY"/>
    <n v="157"/>
    <n v="7.4"/>
    <n v="907888"/>
    <n v="996.22"/>
    <s v="Lijo Jose Pellissery"/>
    <s v="ROBERT DOWNEY JR."/>
    <s v="R"/>
    <s v="Thriller"/>
  </r>
  <r>
    <s v="M0157"/>
    <s v="RRR 157"/>
    <s v="Crime"/>
    <s v="Telugu"/>
    <s v="Netflix"/>
    <d v="1905-07-11T00:00:00"/>
    <s v="JANUARY"/>
    <n v="156"/>
    <n v="8.6999999999999993"/>
    <n v="184440"/>
    <n v="575.89"/>
    <s v="Christopher Nolan"/>
    <s v="NANI"/>
    <s v="R"/>
    <s v="Crime"/>
  </r>
  <r>
    <s v="M0043"/>
    <s v="A Quiet Place"/>
    <s v="Horror"/>
    <s v="English"/>
    <s v="Paramount+"/>
    <d v="1905-07-11T00:00:00"/>
    <s v="JUNE"/>
    <n v="106"/>
    <n v="5.7"/>
    <n v="754052"/>
    <n v="191.2"/>
    <s v="Rajkumar Hirani"/>
    <s v="TOM HOLLAND"/>
    <s v="15"/>
    <s v="Horror"/>
  </r>
  <r>
    <s v="M0506"/>
    <s v="Kantara 506"/>
    <s v="Crime"/>
    <s v="Kannada"/>
    <s v="Amazon Prime"/>
    <d v="1905-07-08T00:00:00"/>
    <s v="AUGUST"/>
    <n v="110"/>
    <n v="7.7"/>
    <n v="275299"/>
    <n v="339.62"/>
    <s v="Denis Villeneuve"/>
    <s v="SURIYA"/>
    <s v="PG"/>
    <s v="Crime"/>
  </r>
  <r>
    <s v="M0527"/>
    <s v="Bangalore Days 527"/>
    <s v="Romance"/>
    <s v="Malayalam"/>
    <s v="Disney+"/>
    <d v="1905-07-11T00:00:00"/>
    <s v="AUGUST"/>
    <n v="103"/>
    <n v="7"/>
    <n v="174974"/>
    <n v="1298.31"/>
    <s v="Mani Ratnam"/>
    <s v="ROBERT DOWNEY JR."/>
    <s v="R"/>
    <s v="Romance"/>
  </r>
  <r>
    <s v="M0040"/>
    <s v="John Wick 4"/>
    <s v="Action"/>
    <s v="English"/>
    <s v="Lionsgate+"/>
    <d v="1905-07-14T00:00:00"/>
    <s v="MARCH"/>
    <n v="164"/>
    <n v="6.9"/>
    <n v="560869"/>
    <n v="29.89"/>
    <s v="Rajkumar Hirani"/>
    <s v="SURIYA"/>
    <s v="R"/>
    <s v="Action"/>
  </r>
  <r>
    <s v="M0414"/>
    <s v="Vikram 414"/>
    <s v="Action"/>
    <s v="Tamil"/>
    <s v="Disney+"/>
    <d v="1905-07-12T00:00:00"/>
    <s v="FEBRUARY"/>
    <n v="159"/>
    <n v="7.2"/>
    <n v="505723"/>
    <n v="321.42"/>
    <s v="Mani Ratnam"/>
    <s v="CHRISTIAN BALE"/>
    <s v="15"/>
    <s v="Action"/>
  </r>
  <r>
    <s v="M0111"/>
    <s v="Oppenheimer 111"/>
    <s v="Drama"/>
    <s v="English"/>
    <s v="Peacock"/>
    <d v="1905-07-09T00:00:00"/>
    <s v="MAY"/>
    <n v="139"/>
    <n v="7.1"/>
    <n v="599184"/>
    <n v="553.01"/>
    <s v="Greta Gerwig"/>
    <s v="NANI"/>
    <s v="15"/>
    <s v="Drama"/>
  </r>
  <r>
    <s v="M0309"/>
    <s v="Manjummel Boys 309"/>
    <s v="Adventure"/>
    <s v="Malayalam"/>
    <s v="Disney+"/>
    <d v="1905-07-17T00:00:00"/>
    <s v="MAY"/>
    <n v="95"/>
    <n v="7.4"/>
    <n v="495112"/>
    <n v="421.76"/>
    <s v="Denis Villeneuve"/>
    <s v="VIJAY"/>
    <s v="R"/>
    <s v="Adventure"/>
  </r>
  <r>
    <s v="M0243"/>
    <s v="A Quiet Place 243"/>
    <s v="Horror"/>
    <s v="English"/>
    <s v="Amazon Prime"/>
    <d v="1905-07-08T00:00:00"/>
    <s v="OCTOBER"/>
    <n v="184"/>
    <n v="7.7"/>
    <n v="562452"/>
    <n v="1471.82"/>
    <s v="Anurag Kashyap"/>
    <s v="ROBERT DOWNEY JR."/>
    <s v="15"/>
    <s v="Horror"/>
  </r>
  <r>
    <s v="M0170"/>
    <s v="Train to Busan 170"/>
    <s v="Fantasy"/>
    <s v="Hindi"/>
    <s v="Netflix"/>
    <d v="1905-07-16T00:00:00"/>
    <s v="APRIL"/>
    <n v="157"/>
    <n v="6.5"/>
    <n v="875994"/>
    <n v="1134.78"/>
    <s v="Anurag Kashyap"/>
    <s v="VIJAY"/>
    <s v="15"/>
    <s v="Fantasy"/>
  </r>
  <r>
    <s v="M0312"/>
    <s v="Barbie 312"/>
    <s v="Comedy"/>
    <s v="English"/>
    <s v="Peacock"/>
    <d v="1905-07-15T00:00:00"/>
    <s v="JULY"/>
    <n v="132"/>
    <n v="6.6"/>
    <n v="918119"/>
    <n v="55.55"/>
    <s v="Alfonso Cuarón"/>
    <s v="ROBERT DOWNEY JR."/>
    <s v="PG"/>
    <s v="Comedy"/>
  </r>
  <r>
    <s v="M0392"/>
    <s v="Get Out 392"/>
    <s v="Thriller"/>
    <s v="English"/>
    <s v="Netflix"/>
    <d v="1905-07-07T00:00:00"/>
    <s v="FEBRUARY"/>
    <n v="172"/>
    <n v="4.5"/>
    <n v="350272"/>
    <n v="489.93"/>
    <s v="Zoya Akhtar"/>
    <s v="FAHADH FAASIL"/>
    <s v="PG"/>
    <s v="Thriller"/>
  </r>
  <r>
    <s v="M0327"/>
    <s v="Bangalore Days 327"/>
    <s v="Romance"/>
    <s v="Malayalam"/>
    <s v="Disney+"/>
    <d v="1905-07-15T00:00:00"/>
    <s v="JANUARY"/>
    <n v="149"/>
    <n v="6.3"/>
    <n v="814394"/>
    <n v="332.99"/>
    <s v="Vetrimaaran"/>
    <s v="TOM HOLLAND"/>
    <s v="18"/>
    <s v="Romance"/>
  </r>
  <r>
    <s v="M0197"/>
    <s v="Gone Girl 197"/>
    <s v="Crime"/>
    <s v="English"/>
    <s v="Netflix"/>
    <d v="1905-07-08T00:00:00"/>
    <s v="SEPTEMBER"/>
    <n v="135"/>
    <n v="7.4"/>
    <n v="222942"/>
    <n v="369.48"/>
    <s v="Vetrimaaran"/>
    <s v="RYAN GOSLING"/>
    <s v="U/A"/>
    <s v="Crime"/>
  </r>
  <r>
    <s v="M0056"/>
    <s v="Kantara 56"/>
    <s v="Mystery"/>
    <s v="Kannada"/>
    <s v="Peacock"/>
    <d v="1905-07-08T00:00:00"/>
    <s v="SEPTEMBER"/>
    <n v="113"/>
    <n v="7.2"/>
    <n v="679894"/>
    <n v="100.48"/>
    <s v="Rajkumar Hirani"/>
    <s v="LEONARDO DICAPRIO"/>
    <s v="R"/>
    <s v="Mystery"/>
  </r>
  <r>
    <s v="M0533"/>
    <s v="Spider-Man: No Way Home 533"/>
    <s v="Action"/>
    <s v="English"/>
    <s v="Paramount+"/>
    <d v="1905-07-11T00:00:00"/>
    <s v="APRIL"/>
    <n v="111"/>
    <n v="4.5"/>
    <n v="377015"/>
    <n v="703.75"/>
    <s v="Lokesh Kanagaraj"/>
    <s v="CHRISTIAN BALE"/>
    <s v="R"/>
    <s v="Action"/>
  </r>
  <r>
    <s v="M0013"/>
    <s v="Pathaan"/>
    <s v="Action"/>
    <s v="Hindi"/>
    <s v="Amazon Prime"/>
    <d v="1905-07-15T00:00:00"/>
    <s v="APRIL"/>
    <n v="160"/>
    <n v="7.3"/>
    <n v="662559"/>
    <n v="20.78"/>
    <s v="Zoya Akhtar"/>
    <s v="RAJINIKANTH"/>
    <s v="15"/>
    <s v="Action"/>
  </r>
  <r>
    <s v="M0418"/>
    <s v="Inception 418"/>
    <s v="Sci-Fi"/>
    <s v="English"/>
    <s v="SonyLIV"/>
    <d v="1905-07-09T00:00:00"/>
    <s v="OCTOBER"/>
    <n v="179"/>
    <n v="7.3"/>
    <n v="159277"/>
    <n v="542.32000000000005"/>
    <s v="S.S. Rajamouli"/>
    <s v="RANBIR KAPOOR"/>
    <s v="U/A"/>
    <s v="Sci-Fi"/>
  </r>
  <r>
    <s v="M0384"/>
    <s v="Toy Story 4 384"/>
    <s v="Animation"/>
    <s v="English"/>
    <s v="Disney+"/>
    <d v="1905-07-07T00:00:00"/>
    <s v="JULY"/>
    <n v="124"/>
    <n v="7"/>
    <n v="325353"/>
    <n v="1325.22"/>
    <s v="Martin Scorsese"/>
    <s v="FAHADH FAASIL"/>
    <s v="U/A"/>
    <s v="Animation"/>
  </r>
  <r>
    <s v="M0423"/>
    <s v="Bahubali 2 423"/>
    <s v="Action"/>
    <s v="Telugu"/>
    <s v="Netflix"/>
    <d v="1905-07-13T00:00:00"/>
    <s v="FEBRUARY"/>
    <n v="152"/>
    <n v="7.8"/>
    <n v="230874"/>
    <n v="452.41"/>
    <s v="Christopher Nolan"/>
    <s v="MOHANLAL"/>
    <s v="15"/>
    <s v="Action"/>
  </r>
  <r>
    <s v="M0515"/>
    <s v="Kumbalangi Nights 515"/>
    <s v="Drama"/>
    <s v="Malayalam"/>
    <s v="Netflix"/>
    <d v="1905-07-09T00:00:00"/>
    <s v="FEBRUARY"/>
    <n v="129"/>
    <n v="8.5"/>
    <n v="190230"/>
    <n v="1217.74"/>
    <s v="Denis Villeneuve"/>
    <s v="PRABHAS"/>
    <s v="U"/>
    <s v="Drama"/>
  </r>
  <r>
    <s v="M0354"/>
    <s v="Drishyam 2 354"/>
    <s v="Thriller"/>
    <s v="Malayalam"/>
    <s v="Amazon Prime"/>
    <d v="1905-07-10T00:00:00"/>
    <s v="NOVEMBER"/>
    <n v="147"/>
    <n v="7.5"/>
    <n v="933788"/>
    <n v="820.1"/>
    <s v="Vetrimaaran"/>
    <s v="RYAN GOSLING"/>
    <s v="R"/>
    <s v="Thriller"/>
  </r>
  <r>
    <s v="M0505"/>
    <s v="Dune: Part Two 505"/>
    <s v="Sci-Fi"/>
    <s v="English"/>
    <s v="HBO Max"/>
    <d v="1905-07-17T00:00:00"/>
    <s v="OCTOBER"/>
    <n v="190"/>
    <n v="6.9"/>
    <n v="89298"/>
    <n v="211.56"/>
    <s v="Zoya Akhtar"/>
    <s v="RANBIR KAPOOR"/>
    <s v="U"/>
    <s v="Sci-Fi"/>
  </r>
  <r>
    <s v="M0350"/>
    <s v="The Notebook 350"/>
    <s v="Romance"/>
    <s v="English"/>
    <s v="Amazon Prime"/>
    <d v="1905-07-14T00:00:00"/>
    <s v="APRIL"/>
    <n v="157"/>
    <n v="6.7"/>
    <n v="196492"/>
    <n v="406.17"/>
    <s v="S.S. Rajamouli"/>
    <s v="RYAN GOSLING"/>
    <s v="U"/>
    <s v="Romance"/>
  </r>
  <r>
    <s v="M0352"/>
    <s v="Jawan 352"/>
    <s v="Action"/>
    <s v="Korean"/>
    <s v="Netflix"/>
    <d v="1905-07-17T00:00:00"/>
    <s v="AUGUST"/>
    <n v="183"/>
    <n v="6.3"/>
    <n v="579055"/>
    <n v="108.47"/>
    <s v="Martin Scorsese"/>
    <s v="RAJINIKANTH"/>
    <s v="U"/>
    <s v="Action"/>
  </r>
  <r>
    <s v="M0078"/>
    <s v="Ustad Hotel 78"/>
    <s v="Drama"/>
    <s v="Malayalam"/>
    <s v="Netflix"/>
    <d v="1905-07-12T00:00:00"/>
    <s v="NOVEMBER"/>
    <n v="180"/>
    <n v="5.7"/>
    <n v="731116"/>
    <n v="853.69"/>
    <s v="Lijo Jose Pellissery"/>
    <s v="SURIYA"/>
    <s v="R"/>
    <s v="Drama"/>
  </r>
  <r>
    <s v="M0447"/>
    <s v="Gone Girl 447"/>
    <s v="Mystery"/>
    <s v="English"/>
    <s v="Netflix"/>
    <d v="1905-07-11T00:00:00"/>
    <s v="MARCH"/>
    <n v="175"/>
    <n v="6.3"/>
    <n v="612811"/>
    <n v="30.97"/>
    <s v="Zoya Akhtar"/>
    <s v="DHANUSH"/>
    <s v="R"/>
    <s v="Mystery"/>
  </r>
  <r>
    <s v="M0005"/>
    <s v="Dune: Part Two"/>
    <s v="Sci-Fi"/>
    <s v="English"/>
    <s v="HBO Max"/>
    <d v="1905-07-12T00:00:00"/>
    <s v="JUNE"/>
    <n v="111"/>
    <n v="6.6"/>
    <n v="717551"/>
    <n v="794.22"/>
    <s v="Greta Gerwig"/>
    <s v="RANBIR KAPOOR"/>
    <s v="PG-13"/>
    <s v="Sci-Fi"/>
  </r>
  <r>
    <s v="M0266"/>
    <s v="Premam 266"/>
    <s v="Romance"/>
    <s v="Japanese"/>
    <s v="Amazon Prime"/>
    <d v="1905-07-09T00:00:00"/>
    <s v="FEBRUARY"/>
    <n v="184"/>
    <n v="6.6"/>
    <n v="537361"/>
    <n v="116.4"/>
    <s v="Martin Scorsese"/>
    <s v="RANBIR KAPOOR"/>
    <s v="PG"/>
    <s v="Romance"/>
  </r>
  <r>
    <s v="M0594"/>
    <s v="Knives Out 594"/>
    <s v="Mystery"/>
    <s v="English"/>
    <s v="Netflix"/>
    <d v="1905-07-14T00:00:00"/>
    <s v="DECEMBER"/>
    <n v="93"/>
    <n v="7.8"/>
    <n v="408688"/>
    <n v="1576.52"/>
    <s v="Zoya Akhtar"/>
    <s v="PRABHAS"/>
    <s v="PG-13"/>
    <s v="Mystery"/>
  </r>
  <r>
    <s v="M0017"/>
    <s v="Interstellar"/>
    <s v="Romance"/>
    <s v="English"/>
    <s v="Netflix"/>
    <d v="1905-07-10T00:00:00"/>
    <s v="JULY"/>
    <n v="92"/>
    <n v="7.2"/>
    <n v="410186"/>
    <n v="410.23"/>
    <s v="S.S. Rajamouli"/>
    <s v="SURIYA"/>
    <s v="18"/>
    <s v="Romance"/>
  </r>
  <r>
    <s v="M0370"/>
    <s v="Train to Busan 370"/>
    <s v="Horror"/>
    <s v="Korean"/>
    <s v="Netflix"/>
    <d v="1905-07-11T00:00:00"/>
    <s v="NOVEMBER"/>
    <n v="169"/>
    <n v="7.1"/>
    <n v="378517"/>
    <n v="200.73"/>
    <s v="Jeethu Joseph"/>
    <s v="DHANUSH"/>
    <s v="18"/>
    <s v="Horror"/>
  </r>
  <r>
    <s v="M0173"/>
    <s v="Bahubali 2 173"/>
    <s v="Action"/>
    <s v="Telugu"/>
    <s v="Netflix"/>
    <d v="1905-07-13T00:00:00"/>
    <s v="JUNE"/>
    <n v="131"/>
    <n v="7.3"/>
    <n v="324041"/>
    <n v="662.63"/>
    <s v="Lokesh Kanagaraj"/>
    <s v="MOHANLAL"/>
    <s v="PG-13"/>
    <s v="Action"/>
  </r>
  <r>
    <s v="M0262"/>
    <s v="Barbie 262"/>
    <s v="Romance"/>
    <s v="English"/>
    <s v="HBO Max"/>
    <d v="1905-07-09T00:00:00"/>
    <s v="FEBRUARY"/>
    <n v="131"/>
    <n v="8.5"/>
    <n v="746452"/>
    <n v="171.55"/>
    <s v="Alfonso Cuarón"/>
    <s v="RYAN GOSLING"/>
    <s v="U"/>
    <s v="Romance"/>
  </r>
  <r>
    <s v="M0374"/>
    <s v="KGF Chapter 2 374"/>
    <s v="Horror"/>
    <s v="Kannada"/>
    <s v="Amazon Prime"/>
    <d v="1905-07-17T00:00:00"/>
    <s v="MARCH"/>
    <n v="159"/>
    <n v="7.1"/>
    <n v="568450"/>
    <n v="369.97"/>
    <s v="S.S. Rajamouli"/>
    <s v="CHRISTIAN BALE"/>
    <s v="PG-13"/>
    <s v="Horror"/>
  </r>
  <r>
    <s v="M0267"/>
    <s v="Interstellar 267"/>
    <s v="Sci-Fi"/>
    <s v="English"/>
    <s v="Netflix"/>
    <d v="1905-07-11T00:00:00"/>
    <s v="JUNE"/>
    <n v="187"/>
    <n v="6.8"/>
    <n v="122331"/>
    <n v="150.29"/>
    <s v="Christopher Nolan"/>
    <s v="VIJAY"/>
    <s v="PG"/>
    <s v="Sci-Fi"/>
  </r>
  <r>
    <s v="M0490"/>
    <s v="John Wick 4 490"/>
    <s v="Romance"/>
    <s v="English"/>
    <s v="Lionsgate+"/>
    <d v="1905-07-16T00:00:00"/>
    <s v="JULY"/>
    <n v="187"/>
    <n v="7.2"/>
    <n v="237658"/>
    <n v="1132.46"/>
    <s v="Denis Villeneuve"/>
    <s v="RAJINIKANTH"/>
    <s v="U"/>
    <s v="Romance"/>
  </r>
  <r>
    <s v="M0422"/>
    <s v="Dangal 422"/>
    <s v="Horror"/>
    <s v="Hindi"/>
    <s v="Apple TV+"/>
    <d v="1905-07-17T00:00:00"/>
    <s v="OCTOBER"/>
    <n v="135"/>
    <n v="8"/>
    <n v="484307"/>
    <n v="1127.3599999999999"/>
    <s v="Greta Gerwig"/>
    <s v="RAJINIKANTH"/>
    <s v="PG"/>
    <s v="Horror"/>
  </r>
  <r>
    <s v="M0090"/>
    <s v="John Wick 4 90"/>
    <s v="Action"/>
    <s v="English"/>
    <s v="Lionsgate+"/>
    <d v="1905-07-08T00:00:00"/>
    <s v="MARCH"/>
    <n v="179"/>
    <n v="6.5"/>
    <n v="664728"/>
    <n v="343.8"/>
    <s v="Anurag Kashyap"/>
    <s v="SURIYA"/>
    <s v="PG"/>
    <s v="Action"/>
  </r>
  <r>
    <s v="M0570"/>
    <s v="Train to Busan 570"/>
    <s v="Horror"/>
    <s v="Korean"/>
    <s v="Netflix"/>
    <d v="1905-07-08T00:00:00"/>
    <s v="AUGUST"/>
    <n v="115"/>
    <n v="7.8"/>
    <n v="358156"/>
    <n v="1314.33"/>
    <s v="Rajkumar Hirani"/>
    <s v="SHAH RUKH KHAN"/>
    <s v="18"/>
    <s v="Horror"/>
  </r>
  <r>
    <s v="M0062"/>
    <s v="Barbie 62"/>
    <s v="Comedy"/>
    <s v="English"/>
    <s v="HBO Max"/>
    <d v="1905-07-10T00:00:00"/>
    <s v="DECEMBER"/>
    <n v="105"/>
    <n v="6.6"/>
    <n v="326645"/>
    <n v="623.76"/>
    <s v="Jeethu Joseph"/>
    <s v="MAMMOOTTY"/>
    <s v="U"/>
    <s v="Comedy"/>
  </r>
  <r>
    <s v="M0437"/>
    <s v="Zootopia 437"/>
    <s v="Animation"/>
    <s v="English"/>
    <s v="Disney+"/>
    <d v="1905-07-10T00:00:00"/>
    <s v="MARCH"/>
    <n v="166"/>
    <n v="7.1"/>
    <n v="251675"/>
    <n v="1147.58"/>
    <s v="Denis Villeneuve"/>
    <s v="FAHADH FAASIL"/>
    <s v="15"/>
    <s v="Animation"/>
  </r>
  <r>
    <s v="M0014"/>
    <s v="Vikram"/>
    <s v="Action"/>
    <s v="Tamil"/>
    <s v="Disney+"/>
    <d v="1905-07-09T00:00:00"/>
    <s v="DECEMBER"/>
    <n v="158"/>
    <n v="7.5"/>
    <n v="605001"/>
    <n v="722.11"/>
    <s v="Jeethu Joseph"/>
    <s v="MAMMOOTTY"/>
    <s v="18"/>
    <s v="Action"/>
  </r>
  <r>
    <s v="M0217"/>
    <s v="Interstellar 217"/>
    <s v="Sci-Fi"/>
    <s v="English"/>
    <s v="Netflix"/>
    <d v="1905-07-13T00:00:00"/>
    <s v="FEBRUARY"/>
    <n v="160"/>
    <n v="6.5"/>
    <n v="137857"/>
    <n v="154.75"/>
    <s v="Lijo Jose Pellissery"/>
    <s v="DHANUSH"/>
    <s v="PG"/>
    <s v="Sci-Fi"/>
  </r>
  <r>
    <s v="M0169"/>
    <s v="Parasite 169"/>
    <s v="Thriller"/>
    <s v="Japanese"/>
    <s v="Hulu"/>
    <d v="1905-07-07T00:00:00"/>
    <s v="FEBRUARY"/>
    <n v="172"/>
    <n v="8.6"/>
    <n v="591682"/>
    <n v="330.7"/>
    <s v="Christopher Nolan"/>
    <s v="PRABHAS"/>
    <s v="U/A"/>
    <s v="Thriller"/>
  </r>
  <r>
    <s v="M0319"/>
    <s v="Parasite 319"/>
    <s v="Thriller"/>
    <s v="French"/>
    <s v="Hulu"/>
    <d v="1905-07-07T00:00:00"/>
    <s v="OCTOBER"/>
    <n v="150"/>
    <n v="6.7"/>
    <n v="178515"/>
    <n v="543.04999999999995"/>
    <s v="Lokesh Kanagaraj"/>
    <s v="MOHANLAL"/>
    <s v="R"/>
    <s v="Thriller"/>
  </r>
  <r>
    <s v="M0066"/>
    <s v="Premam 66"/>
    <s v="Crime"/>
    <s v="Spanish"/>
    <s v="Disney+"/>
    <d v="1905-07-15T00:00:00"/>
    <s v="OCTOBER"/>
    <n v="127"/>
    <n v="7.1"/>
    <n v="912746"/>
    <n v="173.76"/>
    <s v="Greta Gerwig"/>
    <s v="SHAH RUKH KHAN"/>
    <s v="18"/>
    <s v="Crime"/>
  </r>
  <r>
    <s v="M0489"/>
    <s v="Top Gun: Maverick 489"/>
    <s v="Action"/>
    <s v="English"/>
    <s v="Paramount+"/>
    <d v="1905-07-10T00:00:00"/>
    <s v="JUNE"/>
    <n v="148"/>
    <n v="5.9"/>
    <n v="356832"/>
    <n v="121.59"/>
    <s v="Jeethu Joseph"/>
    <s v="ROBERT DOWNEY JR."/>
    <s v="R"/>
    <s v="Action"/>
  </r>
  <r>
    <s v="M0160"/>
    <s v="The Batman 160"/>
    <s v="Action"/>
    <s v="English"/>
    <s v="HBO Max"/>
    <d v="1905-07-16T00:00:00"/>
    <s v="DECEMBER"/>
    <n v="170"/>
    <n v="8.1999999999999993"/>
    <n v="586797"/>
    <n v="122.78"/>
    <s v="S.S. Rajamouli"/>
    <s v="TOM HOLLAND"/>
    <s v="U/A"/>
    <s v="Action"/>
  </r>
  <r>
    <s v="M0468"/>
    <s v="Inception 468"/>
    <s v="Sci-Fi"/>
    <s v="English"/>
    <s v="HBO Max"/>
    <d v="1905-07-10T00:00:00"/>
    <s v="NOVEMBER"/>
    <n v="108"/>
    <n v="8.6"/>
    <n v="802634"/>
    <n v="148.63999999999999"/>
    <s v="Zoya Akhtar"/>
    <s v="RAJINIKANTH"/>
    <s v="PG"/>
    <s v="Sci-Fi"/>
  </r>
  <r>
    <s v="M0261"/>
    <s v="Oppenheimer 261"/>
    <s v="Drama"/>
    <s v="English"/>
    <s v="Peacock"/>
    <d v="1905-07-13T00:00:00"/>
    <s v="NOVEMBER"/>
    <n v="102"/>
    <n v="6.3"/>
    <n v="377501"/>
    <n v="358.14"/>
    <s v="Christopher Nolan"/>
    <s v="RANBIR KAPOOR"/>
    <s v="18"/>
    <s v="Romance"/>
  </r>
  <r>
    <s v="M0110"/>
    <s v="The Batman 110"/>
    <s v="Action"/>
    <s v="Japanese"/>
    <s v="HBO Max"/>
    <d v="1905-07-08T00:00:00"/>
    <s v="MAY"/>
    <n v="115"/>
    <n v="6.8"/>
    <n v="316579"/>
    <n v="77.25"/>
    <s v="Rajkumar Hirani"/>
    <s v="MAMMOOTTY"/>
    <s v="15"/>
    <s v="Drama"/>
  </r>
  <r>
    <s v="M0581"/>
    <s v="The Shawshank Redemption 581"/>
    <s v="Drama"/>
    <s v="Tamil"/>
    <s v="HBO Max"/>
    <d v="1905-07-13T00:00:00"/>
    <s v="DECEMBER"/>
    <n v="132"/>
    <n v="6.9"/>
    <n v="667844"/>
    <n v="69.510000000000005"/>
    <s v="Zoya Akhtar"/>
    <s v="RYAN GOSLING"/>
    <s v="R"/>
    <s v="Action"/>
  </r>
  <r>
    <s v="M0256"/>
    <s v="Kantara 256"/>
    <s v="Drama"/>
    <s v="Korean"/>
    <s v="Hulu"/>
    <d v="1905-07-12T00:00:00"/>
    <s v="MAY"/>
    <n v="159"/>
    <n v="8.6"/>
    <n v="309134"/>
    <n v="185.94"/>
    <s v="Zoya Akhtar"/>
    <s v="MOHANLAL"/>
    <s v="U/A"/>
    <s v="Drama"/>
  </r>
  <r>
    <s v="M0167"/>
    <s v="Interstellar 167"/>
    <s v="Sci-Fi"/>
    <s v="English"/>
    <s v="Netflix"/>
    <d v="1905-07-11T00:00:00"/>
    <s v="JUNE"/>
    <n v="119"/>
    <n v="7.3"/>
    <n v="426550"/>
    <n v="281.41000000000003"/>
    <s v="S.S. Rajamouli"/>
    <s v="MOHANLAL"/>
    <s v="U"/>
    <s v="Drama"/>
  </r>
  <r>
    <s v="M0235"/>
    <s v="Coco 235"/>
    <s v="Animation"/>
    <s v="English"/>
    <s v="Disney+"/>
    <d v="1905-07-08T00:00:00"/>
    <s v="SEPTEMBER"/>
    <n v="96"/>
    <n v="6.1"/>
    <n v="937415"/>
    <n v="122.65"/>
    <s v="Denis Villeneuve"/>
    <s v="SURIYA"/>
    <s v="U"/>
    <s v="Sci-Fi"/>
  </r>
  <r>
    <s v="M0255"/>
    <s v="Dune: Part Two 255"/>
    <s v="Crime"/>
    <s v="Malayalam"/>
    <s v="HBO Max"/>
    <d v="1905-07-14T00:00:00"/>
    <s v="MARCH"/>
    <n v="179"/>
    <n v="7.1"/>
    <n v="800777"/>
    <n v="1631.28"/>
    <s v="Martin Scorsese"/>
    <s v="MOHANLAL"/>
    <s v="PG"/>
    <s v="Animation"/>
  </r>
  <r>
    <s v="M0535"/>
    <s v="Coco 535"/>
    <s v="Fantasy"/>
    <s v="Japanese"/>
    <s v="Disney+"/>
    <d v="1905-07-07T00:00:00"/>
    <s v="AUGUST"/>
    <n v="187"/>
    <n v="5.8"/>
    <n v="117119"/>
    <n v="1471.35"/>
    <s v="Zoya Akhtar"/>
    <s v="RYAN GOSLING"/>
    <s v="15"/>
    <s v="Crime"/>
  </r>
  <r>
    <s v="M0444"/>
    <s v="Knives Out 444"/>
    <s v="Mystery"/>
    <s v="English"/>
    <s v="Netflix"/>
    <d v="1905-07-13T00:00:00"/>
    <s v="SEPTEMBER"/>
    <n v="147"/>
    <n v="7.1"/>
    <n v="904881"/>
    <n v="1185.75"/>
    <s v="S.S. Rajamouli"/>
    <s v="TOM HOLLAND"/>
    <s v="18"/>
    <s v="Fantasy"/>
  </r>
  <r>
    <s v="M0224"/>
    <s v="KGF Chapter 2 224"/>
    <s v="Action"/>
    <s v="Kannada"/>
    <s v="Lionsgate+"/>
    <d v="1905-07-10T00:00:00"/>
    <s v="NOVEMBER"/>
    <n v="187"/>
    <n v="7.4"/>
    <n v="570865"/>
    <n v="1479.26"/>
    <s v="Mani Ratnam"/>
    <s v="RYAN GOSLING"/>
    <s v="PG"/>
    <s v="Mystery"/>
  </r>
  <r>
    <s v="M0114"/>
    <s v="Vikram 114"/>
    <s v="Action"/>
    <s v="Tamil"/>
    <s v="Disney+"/>
    <d v="1905-07-14T00:00:00"/>
    <s v="JANUARY"/>
    <n v="122"/>
    <n v="6.8"/>
    <n v="212183"/>
    <n v="27.47"/>
    <s v="Vetrimaaran"/>
    <s v="DULQUER SALMAAN"/>
    <s v="PG-13"/>
    <s v="Action"/>
  </r>
  <r>
    <s v="M0058"/>
    <s v="12th Fail 58"/>
    <s v="Fantasy"/>
    <s v="Hindi"/>
    <s v="Disney+"/>
    <d v="1905-07-08T00:00:00"/>
    <s v="APRIL"/>
    <n v="171"/>
    <n v="7.3"/>
    <n v="877366"/>
    <n v="1019.69"/>
    <s v="Alfonso Cuarón"/>
    <s v="ALIA BHATT"/>
    <s v="U"/>
    <s v="Action"/>
  </r>
  <r>
    <s v="M0546"/>
    <s v="The Menu 546"/>
    <s v="Thriller"/>
    <s v="English"/>
    <s v="HBO Max"/>
    <d v="1905-07-15T00:00:00"/>
    <s v="JULY"/>
    <n v="118"/>
    <n v="7.8"/>
    <n v="613486"/>
    <n v="457.2"/>
    <s v="Bong Joon Ho"/>
    <s v="ROBERT DOWNEY JR."/>
    <s v="R"/>
    <s v="Fantasy"/>
  </r>
  <r>
    <s v="M0412"/>
    <s v="Barbie 412"/>
    <s v="Comedy"/>
    <s v="English"/>
    <s v="HBO Max"/>
    <d v="1905-07-13T00:00:00"/>
    <s v="MARCH"/>
    <n v="95"/>
    <n v="8.3000000000000007"/>
    <n v="144685"/>
    <n v="578.39"/>
    <s v="Lijo Jose Pellissery"/>
    <s v="SURIYA"/>
    <s v="U/A"/>
    <s v="Thriller"/>
  </r>
  <r>
    <s v="M0097"/>
    <s v="Gone Girl 97"/>
    <s v="Mystery"/>
    <s v="English"/>
    <s v="Amazon Prime"/>
    <d v="1905-07-09T00:00:00"/>
    <s v="NOVEMBER"/>
    <n v="148"/>
    <n v="6.3"/>
    <n v="608416"/>
    <n v="792.38"/>
    <s v="Zoya Akhtar"/>
    <s v="RAJINIKANTH"/>
    <s v="PG-13"/>
    <s v="Comedy"/>
  </r>
  <r>
    <s v="M0171"/>
    <s v="3 Idiots 171"/>
    <s v="Horror"/>
    <s v="Hindi"/>
    <s v="Netflix"/>
    <d v="1905-07-08T00:00:00"/>
    <s v="JUNE"/>
    <n v="162"/>
    <n v="7.4"/>
    <n v="416773"/>
    <n v="723.65"/>
    <s v="Alfonso Cuarón"/>
    <s v="SHAH RUKH KHAN"/>
    <s v="U/A"/>
    <s v="Mystery"/>
  </r>
  <r>
    <s v="M0195"/>
    <s v="Glass Onion 195"/>
    <s v="Mystery"/>
    <s v="English"/>
    <s v="Netflix"/>
    <d v="1905-07-09T00:00:00"/>
    <s v="DECEMBER"/>
    <n v="126"/>
    <n v="7.8"/>
    <n v="709883"/>
    <n v="174.19"/>
    <s v="Martin Scorsese"/>
    <s v="SURIYA"/>
    <s v="PG-13"/>
    <s v="Horror"/>
  </r>
  <r>
    <s v="M0291"/>
    <s v="The Conjuring 291"/>
    <s v="Horror"/>
    <s v="English"/>
    <s v="Lionsgate+"/>
    <d v="1905-07-15T00:00:00"/>
    <s v="JANUARY"/>
    <n v="165"/>
    <n v="8.1999999999999993"/>
    <n v="811959"/>
    <n v="295.87"/>
    <s v="Jeethu Joseph"/>
    <s v="RYAN GOSLING"/>
    <s v="18"/>
    <s v="Mystery"/>
  </r>
  <r>
    <s v="M0578"/>
    <s v="Ustad Hotel 578"/>
    <s v="Drama"/>
    <s v="English"/>
    <s v="Netflix"/>
    <d v="1905-07-08T00:00:00"/>
    <s v="JUNE"/>
    <n v="88"/>
    <n v="6.7"/>
    <n v="582436"/>
    <n v="83.97"/>
    <s v="Martin Scorsese"/>
    <s v="NANI"/>
    <s v="U"/>
    <s v="Horror"/>
  </r>
  <r>
    <s v="M0516"/>
    <s v="Premam 516"/>
    <s v="Romance"/>
    <s v="Malayalam"/>
    <s v="Amazon Prime"/>
    <d v="1905-07-08T00:00:00"/>
    <s v="APRIL"/>
    <n v="183"/>
    <n v="8"/>
    <n v="523107"/>
    <n v="1145.83"/>
    <s v="S.S. Rajamouli"/>
    <s v="MAMMOOTTY"/>
    <s v="PG"/>
    <s v="Drama"/>
  </r>
  <r>
    <s v="M0143"/>
    <s v="A Quiet Place 143"/>
    <s v="Horror"/>
    <s v="English"/>
    <s v="SonyLIV"/>
    <d v="1905-07-10T00:00:00"/>
    <s v="SEPTEMBER"/>
    <n v="179"/>
    <n v="6.9"/>
    <n v="184368"/>
    <n v="677.36"/>
    <s v="Zoya Akhtar"/>
    <s v="DHANUSH"/>
    <s v="U/A"/>
    <s v="Romance"/>
  </r>
  <r>
    <s v="M0551"/>
    <s v="Leo 551"/>
    <s v="Drama"/>
    <s v="Tamil"/>
    <s v="Netflix"/>
    <d v="1905-07-13T00:00:00"/>
    <s v="JULY"/>
    <n v="114"/>
    <n v="7.8"/>
    <n v="48845"/>
    <n v="1620.48"/>
    <s v="Martin Scorsese"/>
    <s v="MOHANLAL"/>
    <s v="18"/>
    <s v="Horror"/>
  </r>
  <r>
    <s v="M0245"/>
    <s v="Glass Onion 245"/>
    <s v="Mystery"/>
    <s v="English"/>
    <s v="Netflix"/>
    <d v="1905-07-12T00:00:00"/>
    <s v="MAY"/>
    <n v="124"/>
    <n v="7"/>
    <n v="730800"/>
    <n v="1257.1300000000001"/>
    <s v="Lokesh Kanagaraj"/>
    <s v="DULQUER SALMAAN"/>
    <s v="R"/>
    <s v="Drama"/>
  </r>
  <r>
    <s v="M0530"/>
    <s v="Forrest Gump 530"/>
    <s v="Drama"/>
    <s v="English"/>
    <s v="Peacock"/>
    <d v="1905-07-14T00:00:00"/>
    <s v="FEBRUARY"/>
    <n v="148"/>
    <n v="6.5"/>
    <n v="653744"/>
    <m/>
    <s v="Christopher Nolan"/>
    <s v="FAHADH FAASIL"/>
    <s v="18"/>
    <s v="Mystery"/>
  </r>
  <r>
    <s v="M0187"/>
    <s v="Zootopia 187"/>
    <s v="Adventure"/>
    <s v="Kannada"/>
    <s v="Disney+"/>
    <d v="1905-07-16T00:00:00"/>
    <s v="JULY"/>
    <n v="160"/>
    <n v="7.7"/>
    <n v="480901"/>
    <n v="969.75"/>
    <s v="Lijo Jose Pellissery"/>
    <s v="MOHANLAL"/>
    <s v="PG"/>
    <s v="Drama"/>
  </r>
  <r>
    <s v="M0024"/>
    <s v="KGF Chapter 2"/>
    <s v="Action"/>
    <s v="Kannada"/>
    <s v="Amazon Prime"/>
    <d v="1905-07-11T00:00:00"/>
    <s v="MARCH"/>
    <n v="179"/>
    <n v="6.8"/>
    <n v="464098"/>
    <n v="508.85"/>
    <s v="Rajkumar Hirani"/>
    <s v="MOHANLAL"/>
    <s v="15"/>
    <s v="Adventure"/>
  </r>
  <r>
    <s v="M0273"/>
    <s v="Bahubali 2 273"/>
    <s v="Action"/>
    <s v="Telugu"/>
    <s v="Netflix"/>
    <d v="1905-07-14T00:00:00"/>
    <s v="AUGUST"/>
    <n v="187"/>
    <n v="6.9"/>
    <n v="523469"/>
    <n v="180.07"/>
    <s v="Bong Joon Ho"/>
    <s v="TOM HOLLAND"/>
    <s v="PG-13"/>
    <s v="Action"/>
  </r>
  <r>
    <s v="M0124"/>
    <s v="KGF Chapter 2 124"/>
    <s v="Action"/>
    <s v="Kannada"/>
    <s v="Amazon Prime"/>
    <d v="1905-07-08T00:00:00"/>
    <s v="AUGUST"/>
    <n v="144"/>
    <n v="7"/>
    <n v="713945"/>
    <n v="216.29"/>
    <s v="Alfonso Cuarón"/>
    <s v="VIJAY"/>
    <s v="15"/>
    <s v="Action"/>
  </r>
  <r>
    <s v="M0321"/>
    <s v="3 Idiots 321"/>
    <s v="Comedy"/>
    <s v="Hindi"/>
    <s v="Netflix"/>
    <d v="1905-07-10T00:00:00"/>
    <s v="AUGUST"/>
    <n v="136"/>
    <n v="6.7"/>
    <n v="427711"/>
    <n v="579.44000000000005"/>
    <s v="Vetrimaaran"/>
    <s v="MAMMOOTTY"/>
    <s v="PG"/>
    <s v="Action"/>
  </r>
  <r>
    <s v="M0564"/>
    <s v="Vikram 564"/>
    <s v="Action"/>
    <s v="Tamil"/>
    <s v="Disney+"/>
    <d v="1905-07-07T00:00:00"/>
    <s v="MAY"/>
    <n v="172"/>
    <n v="8.6"/>
    <n v="744447"/>
    <n v="127.29"/>
    <s v="Alfonso Cuarón"/>
    <s v="RANBIR KAPOOR"/>
    <s v="PG-13"/>
    <s v="Comedy"/>
  </r>
  <r>
    <s v="M0150"/>
    <s v="The Notebook 150"/>
    <s v="Romance"/>
    <s v="English"/>
    <s v="Amazon Prime"/>
    <d v="1905-07-10T00:00:00"/>
    <s v="DECEMBER"/>
    <n v="159"/>
    <n v="6.9"/>
    <n v="513373"/>
    <n v="103.59"/>
    <s v="Mani Ratnam"/>
    <s v="VIJAY"/>
    <s v="PG-13"/>
    <s v="Action"/>
  </r>
  <r>
    <s v="M0036"/>
    <s v="Inside Out"/>
    <s v="Animation"/>
    <s v="English"/>
    <s v="Lionsgate+"/>
    <d v="1905-07-14T00:00:00"/>
    <s v="MARCH"/>
    <n v="180"/>
    <n v="7.6"/>
    <n v="904142"/>
    <n v="303.68"/>
    <s v="Zoya Akhtar"/>
    <s v="ALIA BHATT"/>
    <s v="PG-13"/>
    <s v="Romance"/>
  </r>
  <r>
    <s v="M0015"/>
    <s v="Kumbalangi Nights"/>
    <s v="Drama"/>
    <s v="Malayalam"/>
    <s v="Netflix"/>
    <d v="1905-07-07T00:00:00"/>
    <s v="NOVEMBER"/>
    <n v="168"/>
    <n v="7.5"/>
    <n v="422979"/>
    <n v="1125.54"/>
    <s v="Jeethu Joseph"/>
    <s v="PRABHAS"/>
    <s v="15"/>
    <s v="Animation"/>
  </r>
  <r>
    <s v="M0383"/>
    <s v="Spider-Man: No Way Home 383"/>
    <s v="Action"/>
    <s v="English"/>
    <s v="Netflix"/>
    <d v="1905-07-13T00:00:00"/>
    <s v="DECEMBER"/>
    <n v="186"/>
    <n v="8.1999999999999993"/>
    <n v="168466"/>
    <n v="321.3"/>
    <s v="Lijo Jose Pellissery"/>
    <s v="RAJINIKANTH"/>
    <s v="R"/>
    <s v="Drama"/>
  </r>
  <r>
    <s v="M0399"/>
    <s v="La La Land 399"/>
    <s v="Fantasy"/>
    <s v="English"/>
    <s v="Netflix"/>
    <d v="1905-07-11T00:00:00"/>
    <s v="NOVEMBER"/>
    <n v="111"/>
    <n v="7"/>
    <n v="290888"/>
    <n v="801.01"/>
    <s v="S.S. Rajamouli"/>
    <s v="VIJAY"/>
    <s v="PG"/>
    <s v="Action"/>
  </r>
  <r>
    <s v="M0524"/>
    <s v="KGF Chapter 2 524"/>
    <s v="Action"/>
    <s v="Kannada"/>
    <s v="Amazon Prime"/>
    <d v="1905-07-14T00:00:00"/>
    <s v="NOVEMBER"/>
    <n v="142"/>
    <n v="7.6"/>
    <n v="654912"/>
    <n v="624.61"/>
    <s v="Jeethu Joseph"/>
    <s v="FAHADH FAASIL"/>
    <s v="18"/>
    <s v="Fantasy"/>
  </r>
  <r>
    <s v="M0453"/>
    <s v="Premalu 453"/>
    <s v="Romance"/>
    <s v="Malayalam"/>
    <s v="Amazon Prime"/>
    <d v="1905-07-08T00:00:00"/>
    <s v="MARCH"/>
    <n v="120"/>
    <n v="7.5"/>
    <n v="158608"/>
    <n v="939.2"/>
    <s v="S.S. Rajamouli"/>
    <s v="SURIYA"/>
    <s v="U/A"/>
    <s v="Action"/>
  </r>
  <r>
    <s v="M0105"/>
    <s v="Dune: Part Two 105"/>
    <s v="Sci-Fi"/>
    <s v="English"/>
    <s v="HBO Max"/>
    <d v="1905-07-09T00:00:00"/>
    <s v="DECEMBER"/>
    <n v="141"/>
    <n v="7.9"/>
    <n v="755340"/>
    <n v="230"/>
    <s v="Alfonso Cuarón"/>
    <s v="SHAH RUKH KHAN"/>
    <s v="15"/>
    <s v="Romance"/>
  </r>
  <r>
    <s v="M0179"/>
    <s v="The Dark Knight 179"/>
    <s v="Action"/>
    <s v="English"/>
    <s v="HBO Max"/>
    <d v="1905-07-14T00:00:00"/>
    <s v="DECEMBER"/>
    <n v="111"/>
    <n v="6.6"/>
    <n v="727290"/>
    <n v="124.1"/>
    <s v="Martin Scorsese"/>
    <s v="ROBERT DOWNEY JR."/>
    <s v="18"/>
    <s v="Sci-Fi"/>
  </r>
  <r>
    <s v="M0525"/>
    <s v="Sita Ramam 525"/>
    <s v="Thriller"/>
    <s v="Hindi"/>
    <s v="Amazon Prime"/>
    <d v="1905-07-07T00:00:00"/>
    <s v="JANUARY"/>
    <n v="135"/>
    <n v="7.5"/>
    <n v="501096"/>
    <n v="408.06"/>
    <s v="S.S. Rajamouli"/>
    <s v="NANI"/>
    <s v="R"/>
    <s v="Action"/>
  </r>
  <r>
    <s v="M0223"/>
    <s v="Bahubali 2 223"/>
    <s v="Action"/>
    <s v="Telugu"/>
    <s v="Apple TV+"/>
    <d v="1905-07-11T00:00:00"/>
    <s v="AUGUST"/>
    <n v="104"/>
    <n v="8.1999999999999993"/>
    <n v="258524"/>
    <n v="673.29"/>
    <s v="Christopher Nolan"/>
    <s v="MOHANLAL"/>
    <s v="PG-13"/>
    <s v="Thriller"/>
  </r>
  <r>
    <s v="M0216"/>
    <s v="Premam 216"/>
    <s v="Romance"/>
    <s v="Malayalam"/>
    <s v="Amazon Prime"/>
    <d v="1905-07-07T00:00:00"/>
    <s v="MARCH"/>
    <n v="176"/>
    <n v="6.3"/>
    <n v="294218"/>
    <n v="174.8"/>
    <s v="Bong Joon Ho"/>
    <s v="NANI"/>
    <s v="18"/>
    <s v="Action"/>
  </r>
  <r>
    <s v="M0526"/>
    <s v="Jigarthanda DoubleX 526"/>
    <s v="Action"/>
    <s v="Tamil"/>
    <s v="Netflix"/>
    <d v="1905-07-08T00:00:00"/>
    <s v="JANUARY"/>
    <n v="174"/>
    <n v="7.5"/>
    <n v="198164"/>
    <n v="473.46"/>
    <s v="Martin Scorsese"/>
    <s v="RANBIR KAPOOR"/>
    <s v="R"/>
    <s v="Romance"/>
  </r>
  <r>
    <s v="M0148"/>
    <s v="Shutter Island 148"/>
    <s v="Mystery"/>
    <s v="English"/>
    <s v="Paramount+"/>
    <d v="1905-07-09T00:00:00"/>
    <s v="AUGUST"/>
    <n v="180"/>
    <n v="7.1"/>
    <n v="635963"/>
    <n v="520.91"/>
    <s v="Alfonso Cuarón"/>
    <s v="RYAN GOSLING"/>
    <s v="R"/>
    <s v="Action"/>
  </r>
  <r>
    <s v="M0520"/>
    <s v="Train to Busan 520"/>
    <s v="Horror"/>
    <s v="Korean"/>
    <s v="Netflix"/>
    <d v="1905-07-10T00:00:00"/>
    <s v="AUGUST"/>
    <n v="142"/>
    <n v="5.7"/>
    <n v="929222"/>
    <n v="255.33"/>
    <s v="Rajkumar Hirani"/>
    <s v="SURIYA"/>
    <s v="15"/>
    <s v="Mystery"/>
  </r>
  <r>
    <s v="M0028"/>
    <s v="Ustad Hotel"/>
    <s v="Drama"/>
    <s v="Malayalam"/>
    <s v="Hulu"/>
    <d v="1905-07-17T00:00:00"/>
    <s v="SEPTEMBER"/>
    <n v="136"/>
    <n v="6.4"/>
    <n v="713326"/>
    <n v="1077.6500000000001"/>
    <s v="Rajkumar Hirani"/>
    <s v="ALIA BHATT"/>
    <s v="15"/>
    <s v="Horror"/>
  </r>
  <r>
    <s v="M0044"/>
    <s v="Knives Out"/>
    <s v="Mystery"/>
    <s v="Korean"/>
    <s v="HBO Max"/>
    <d v="1905-07-08T00:00:00"/>
    <s v="OCTOBER"/>
    <n v="173"/>
    <n v="6"/>
    <n v="871717"/>
    <n v="233.62"/>
    <s v="Zoya Akhtar"/>
    <s v="MAMMOOTTY"/>
    <s v="R"/>
    <s v="Drama"/>
  </r>
  <r>
    <s v="M0361"/>
    <s v="Oppenheimer 361"/>
    <s v="Drama"/>
    <s v="English"/>
    <s v="Peacock"/>
    <d v="1905-07-08T00:00:00"/>
    <s v="DECEMBER"/>
    <n v="126"/>
    <n v="7.3"/>
    <n v="866614"/>
    <n v="1239.32"/>
    <s v="Denis Villeneuve"/>
    <s v="DULQUER SALMAAN"/>
    <s v="18"/>
    <s v="Mystery"/>
  </r>
  <r>
    <s v="M0156"/>
    <s v="Kantara 156"/>
    <s v="Drama"/>
    <s v="Kannada"/>
    <s v="Netflix"/>
    <d v="1905-07-09T00:00:00"/>
    <s v="SEPTEMBER"/>
    <n v="122"/>
    <n v="7.6"/>
    <n v="246336"/>
    <n v="1164.81"/>
    <s v="Denis Villeneuve"/>
    <s v="RAJINIKANTH"/>
    <s v="PG"/>
    <s v="Drama"/>
  </r>
  <r>
    <s v="M0473"/>
    <s v="Bahubali 2 473"/>
    <s v="Action"/>
    <s v="Telugu"/>
    <s v="Netflix"/>
    <d v="1905-07-16T00:00:00"/>
    <s v="JANUARY"/>
    <n v="145"/>
    <n v="7.6"/>
    <n v="70265"/>
    <n v="66.73"/>
    <s v="Alfonso Cuarón"/>
    <s v="MAMMOOTTY"/>
    <s v="U/A"/>
    <s v="Drama"/>
  </r>
  <r>
    <s v="M0562"/>
    <s v="Barbie 562"/>
    <s v="Comedy"/>
    <s v="Japanese"/>
    <s v="HBO Max"/>
    <d v="1905-07-07T00:00:00"/>
    <s v="NOVEMBER"/>
    <n v="107"/>
    <n v="6.6"/>
    <n v="434032"/>
    <n v="764.43"/>
    <s v="Alfonso Cuarón"/>
    <s v="DHANUSH"/>
    <s v="U"/>
    <s v="Action"/>
  </r>
  <r>
    <s v="M0181"/>
    <s v="The Shawshank Redemption 181"/>
    <s v="Drama"/>
    <s v="French"/>
    <s v="HBO Max"/>
    <d v="1905-07-08T00:00:00"/>
    <s v="FEBRUARY"/>
    <n v="183"/>
    <n v="7.2"/>
    <n v="175218"/>
    <n v="178.18"/>
    <s v="Alfonso Cuarón"/>
    <s v="RAJINIKANTH"/>
    <s v="U"/>
    <s v="Comedy"/>
  </r>
  <r>
    <s v="M0127"/>
    <s v="Bangalore Days 127"/>
    <s v="Romance"/>
    <s v="Malayalam"/>
    <s v="Disney+"/>
    <d v="1905-07-17T00:00:00"/>
    <s v="APRIL"/>
    <n v="183"/>
    <n v="6.3"/>
    <n v="32557"/>
    <n v="627.79999999999995"/>
    <s v="Martin Scorsese"/>
    <s v="DULQUER SALMAAN"/>
    <s v="U/A"/>
    <s v="Drama"/>
  </r>
  <r>
    <s v="M0413"/>
    <s v="Pathaan 413"/>
    <s v="Action"/>
    <s v="Hindi"/>
    <s v="Peacock"/>
    <d v="1905-07-12T00:00:00"/>
    <s v="APRIL"/>
    <n v="108"/>
    <n v="7.1"/>
    <n v="523155"/>
    <n v="505.9"/>
    <s v="Anurag Kashyap"/>
    <s v="RYAN GOSLING"/>
    <s v="PG"/>
    <s v="Romance"/>
  </r>
  <r>
    <s v="M0094"/>
    <s v="Knives Out 94"/>
    <s v="Mystery"/>
    <s v="English"/>
    <s v="Netflix"/>
    <d v="1905-07-14T00:00:00"/>
    <s v="FEBRUARY"/>
    <n v="125"/>
    <n v="7.8"/>
    <n v="604527"/>
    <n v="380.65"/>
    <s v="S.S. Rajamouli"/>
    <s v="MAMMOOTTY"/>
    <s v="U"/>
    <s v="Action"/>
  </r>
  <r>
    <s v="M0220"/>
    <s v="Train to Busan 220"/>
    <s v="Horror"/>
    <s v="Korean"/>
    <s v="Netflix"/>
    <d v="1905-07-09T00:00:00"/>
    <s v="JANUARY"/>
    <n v="136"/>
    <n v="6.6"/>
    <n v="896914"/>
    <n v="663.45"/>
    <s v="Rajkumar Hirani"/>
    <s v="SHAH RUKH KHAN"/>
    <s v="R"/>
    <s v="Mystery"/>
  </r>
  <r>
    <s v="M0554"/>
    <s v="Drishyam 2 554"/>
    <s v="Thriller"/>
    <s v="Malayalam"/>
    <s v="Netflix"/>
    <d v="1905-07-12T00:00:00"/>
    <s v="JULY"/>
    <n v="108"/>
    <n v="7.7"/>
    <n v="435892"/>
    <n v="34.57"/>
    <s v="S.S. Rajamouli"/>
    <s v="MOHANLAL"/>
    <s v="U"/>
    <s v="Horror"/>
  </r>
  <r>
    <s v="M0425"/>
    <s v="Sita Ramam 425"/>
    <s v="Romance"/>
    <s v="Telugu"/>
    <s v="Amazon Prime"/>
    <d v="1905-07-14T00:00:00"/>
    <s v="MAY"/>
    <n v="183"/>
    <n v="5.7"/>
    <n v="808078"/>
    <n v="487.14"/>
    <s v="S.S. Rajamouli"/>
    <s v="LEONARDO DICAPRIO"/>
    <s v="PG-13"/>
    <s v="Thriller"/>
  </r>
  <r>
    <s v="M0406"/>
    <s v="Kantara 406"/>
    <s v="Adventure"/>
    <s v="Kannada"/>
    <s v="Amazon Prime"/>
    <d v="1905-07-17T00:00:00"/>
    <s v="FEBRUARY"/>
    <n v="179"/>
    <n v="7.8"/>
    <n v="747290"/>
    <n v="586.33000000000004"/>
    <s v="Vetrimaaran"/>
    <s v="RYAN GOSLING"/>
    <s v="R"/>
    <s v="Romance"/>
  </r>
  <r>
    <s v="M0038"/>
    <s v="Frozen II"/>
    <s v="Animation"/>
    <s v="English"/>
    <s v="Disney+"/>
    <d v="1905-07-10T00:00:00"/>
    <s v="JULY"/>
    <n v="134"/>
    <n v="8.6"/>
    <n v="949591"/>
    <n v="1377.11"/>
    <s v="Zoya Akhtar"/>
    <s v="DHANUSH"/>
    <s v="U"/>
    <s v="Adventure"/>
  </r>
  <r>
    <s v="M0449"/>
    <s v="La La Land 449"/>
    <s v="Romance"/>
    <s v="English"/>
    <s v="Netflix"/>
    <d v="1905-07-16T00:00:00"/>
    <s v="JUNE"/>
    <n v="179"/>
    <n v="8"/>
    <n v="708224"/>
    <n v="105.69"/>
    <s v="Vetrimaaran"/>
    <s v="SHAH RUKH KHAN"/>
    <s v="U"/>
    <s v="Animation"/>
  </r>
  <r>
    <s v="M0103"/>
    <s v="Premalu 103"/>
    <s v="Comedy"/>
    <s v="Malayalam"/>
    <s v="Lionsgate+"/>
    <d v="1905-07-08T00:00:00"/>
    <s v="NOVEMBER"/>
    <n v="170"/>
    <n v="6.6"/>
    <n v="381011"/>
    <n v="563.78"/>
    <s v="Alfonso Cuarón"/>
    <s v="ROBERT DOWNEY JR."/>
    <s v="U/A"/>
    <s v="Romance"/>
  </r>
  <r>
    <s v="M0536"/>
    <s v="Inside Out 536"/>
    <s v="Animation"/>
    <s v="English"/>
    <s v="Hulu"/>
    <d v="1905-07-09T00:00:00"/>
    <s v="DECEMBER"/>
    <n v="122"/>
    <n v="7.6"/>
    <n v="743363"/>
    <n v="467.13"/>
    <s v="Lokesh Kanagaraj"/>
    <s v="NANI"/>
    <s v="R"/>
    <s v="Comedy"/>
  </r>
  <r>
    <s v="M0539"/>
    <s v="Top Gun: Maverick 539"/>
    <s v="Action"/>
    <s v="English"/>
    <s v="Amazon Prime"/>
    <d v="1905-07-12T00:00:00"/>
    <s v="JUNE"/>
    <n v="136"/>
    <n v="7.6"/>
    <n v="65254"/>
    <n v="104.36"/>
    <s v="Lijo Jose Pellissery"/>
    <s v="LEONARDO DICAPRIO"/>
    <s v="PG"/>
    <s v="Animation"/>
  </r>
  <r>
    <s v="M0021"/>
    <s v="3 Idiots"/>
    <s v="Drama"/>
    <s v="Hindi"/>
    <s v="Netflix"/>
    <d v="1905-07-16T00:00:00"/>
    <s v="FEBRUARY"/>
    <n v="94"/>
    <n v="6.3"/>
    <n v="139690"/>
    <n v="1564.53"/>
    <s v="Vetrimaaran"/>
    <s v="DULQUER SALMAAN"/>
    <s v="PG-13"/>
    <s v="Action"/>
  </r>
  <r>
    <s v="M0433"/>
    <s v="Spider-Man: No Way Home 433"/>
    <s v="Animation"/>
    <s v="English"/>
    <s v="Netflix"/>
    <d v="1905-07-16T00:00:00"/>
    <s v="JANUARY"/>
    <n v="116"/>
    <n v="7.1"/>
    <n v="181416"/>
    <n v="1090.25"/>
    <s v="Mani Ratnam"/>
    <s v="FAHADH FAASIL"/>
    <s v="U"/>
    <s v="Drama"/>
  </r>
  <r>
    <s v="M0280"/>
    <s v="Forrest Gump 280"/>
    <s v="Drama"/>
    <s v="French"/>
    <s v="Netflix"/>
    <d v="1905-07-15T00:00:00"/>
    <s v="JUNE"/>
    <n v="176"/>
    <n v="6.6"/>
    <n v="773410"/>
    <n v="1179.01"/>
    <s v="Jeethu Joseph"/>
    <s v="DULQUER SALMAAN"/>
    <s v="18"/>
    <s v="Animation"/>
  </r>
  <r>
    <s v="M0284"/>
    <s v="Toy Story 4 284"/>
    <s v="Animation"/>
    <s v="English"/>
    <s v="Disney+"/>
    <d v="1905-07-17T00:00:00"/>
    <s v="JANUARY"/>
    <n v="133"/>
    <n v="6.9"/>
    <n v="407180"/>
    <n v="640.32000000000005"/>
    <s v="Greta Gerwig"/>
    <s v="LEONARDO DICAPRIO"/>
    <s v="18"/>
    <s v="Drama"/>
  </r>
  <r>
    <s v="M0131"/>
    <s v="The Shawshank Redemption 131"/>
    <s v="Romance"/>
    <s v="English"/>
    <s v="HBO Max"/>
    <d v="1905-07-11T00:00:00"/>
    <s v="AUGUST"/>
    <n v="161"/>
    <n v="8"/>
    <n v="494246"/>
    <n v="62.29"/>
    <s v="Anurag Kashyap"/>
    <s v="VIJAY"/>
    <s v="18"/>
    <s v="Animation"/>
  </r>
  <r>
    <s v="M0163"/>
    <s v="Pathaan 163"/>
    <s v="Action"/>
    <s v="Hindi"/>
    <s v="Apple TV+"/>
    <d v="1905-07-09T00:00:00"/>
    <s v="APRIL"/>
    <n v="127"/>
    <n v="7.3"/>
    <n v="258466"/>
    <n v="652.54"/>
    <s v="S.S. Rajamouli"/>
    <s v="ROBERT DOWNEY JR."/>
    <s v="PG-13"/>
    <s v="Romance"/>
  </r>
  <r>
    <s v="M0497"/>
    <s v="Gone Girl 497"/>
    <s v="Fantasy"/>
    <s v="Tamil"/>
    <s v="Netflix"/>
    <d v="1905-07-15T00:00:00"/>
    <s v="FEBRUARY"/>
    <n v="151"/>
    <n v="6.7"/>
    <n v="813567"/>
    <n v="579.57000000000005"/>
    <s v="Jeethu Joseph"/>
    <s v="MAMMOOTTY"/>
    <s v="PG"/>
    <s v="Action"/>
  </r>
  <r>
    <s v="M0092"/>
    <s v="Get Out 92"/>
    <s v="Horror"/>
    <s v="English"/>
    <s v="Amazon Prime"/>
    <d v="1905-07-12T00:00:00"/>
    <s v="JULY"/>
    <n v="99"/>
    <n v="6.9"/>
    <n v="297805"/>
    <n v="812.53"/>
    <s v="Christopher Nolan"/>
    <s v="RANBIR KAPOOR"/>
    <s v="15"/>
    <s v="Romance"/>
  </r>
  <r>
    <s v="M0117"/>
    <s v="Interstellar 117"/>
    <s v="Sci-Fi"/>
    <s v="English"/>
    <s v="Netflix"/>
    <d v="1905-07-11T00:00:00"/>
    <s v="AUGUST"/>
    <n v="162"/>
    <n v="7.1"/>
    <n v="466271"/>
    <n v="96.65"/>
    <s v="Denis Villeneuve"/>
    <s v="SURIYA"/>
    <s v="18"/>
    <s v="Fantasy"/>
  </r>
  <r>
    <s v="M0337"/>
    <s v="Zootopia 337"/>
    <s v="Animation"/>
    <s v="English"/>
    <s v="Disney+"/>
    <d v="1905-07-09T00:00:00"/>
    <s v="JANUARY"/>
    <n v="89"/>
    <n v="6.4"/>
    <n v="341798"/>
    <n v="850.22"/>
    <s v="Greta Gerwig"/>
    <s v="SHAH RUKH KHAN"/>
    <s v="18"/>
    <s v="Horror"/>
  </r>
  <r>
    <s v="M0188"/>
    <s v="Frozen II 188"/>
    <s v="Animation"/>
    <s v="English"/>
    <s v="Disney+"/>
    <d v="1905-07-09T00:00:00"/>
    <s v="SEPTEMBER"/>
    <n v="134"/>
    <n v="7.7"/>
    <n v="439355"/>
    <n v="697.26"/>
    <s v="Lokesh Kanagaraj"/>
    <s v="ROBERT DOWNEY JR."/>
    <s v="18"/>
    <s v="Sci-Fi"/>
  </r>
  <r>
    <s v="M0329"/>
    <s v="The Dark Knight 329"/>
    <s v="Action"/>
    <s v="English"/>
    <s v="HBO Max"/>
    <d v="1905-07-13T00:00:00"/>
    <s v="MAY"/>
    <n v="142"/>
    <n v="7.4"/>
    <n v="604667"/>
    <n v="1076.69"/>
    <s v="Alfonso Cuarón"/>
    <s v="RANBIR KAPOOR"/>
    <s v="PG-13"/>
    <s v="Animation"/>
  </r>
  <r>
    <s v="M0450"/>
    <s v="The Notebook 450"/>
    <s v="Romance"/>
    <s v="English"/>
    <s v="Amazon Prime"/>
    <d v="1905-07-08T00:00:00"/>
    <s v="SEPTEMBER"/>
    <n v="175"/>
    <n v="6.8"/>
    <n v="811952"/>
    <n v="389.15"/>
    <s v="Greta Gerwig"/>
    <s v="MAMMOOTTY"/>
    <s v="18"/>
    <s v="Animation"/>
  </r>
  <r>
    <s v="M0555"/>
    <s v="Dune: Part Two 555"/>
    <s v="Sci-Fi"/>
    <s v="English"/>
    <s v="HBO Max"/>
    <d v="1905-07-08T00:00:00"/>
    <s v="MARCH"/>
    <n v="124"/>
    <n v="7.1"/>
    <n v="62575"/>
    <n v="460"/>
    <s v="Bong Joon Ho"/>
    <s v="LEONARDO DICAPRIO"/>
    <s v="PG-13"/>
    <s v="Action"/>
  </r>
  <r>
    <s v="M0558"/>
    <s v="12th Fail 558"/>
    <s v="Drama"/>
    <s v="Hindi"/>
    <s v="Lionsgate+"/>
    <d v="1905-07-10T00:00:00"/>
    <s v="MARCH"/>
    <n v="132"/>
    <n v="7.4"/>
    <n v="567492"/>
    <n v="1487.91"/>
    <s v="Lijo Jose Pellissery"/>
    <s v="RYAN GOSLING"/>
    <s v="U"/>
    <s v="Romance"/>
  </r>
  <r>
    <s v="M0364"/>
    <s v="Vikram 364"/>
    <s v="Action"/>
    <s v="Tamil"/>
    <s v="Disney+"/>
    <d v="1905-07-12T00:00:00"/>
    <s v="FEBRUARY"/>
    <n v="145"/>
    <n v="6.8"/>
    <n v="599998"/>
    <n v="835.66"/>
    <s v="Rajkumar Hirani"/>
    <s v="DHANUSH"/>
    <s v="PG-13"/>
    <s v="Sci-Fi"/>
  </r>
  <r>
    <s v="M0431"/>
    <s v="The Shawshank Redemption 431"/>
    <s v="Animation"/>
    <s v="English"/>
    <s v="HBO Max"/>
    <d v="1905-07-10T00:00:00"/>
    <s v="JANUARY"/>
    <n v="177"/>
    <n v="7.8"/>
    <n v="408452"/>
    <n v="77.91"/>
    <s v="Mani Ratnam"/>
    <s v="RYAN GOSLING"/>
    <s v="U"/>
    <s v="Drama"/>
  </r>
  <r>
    <s v="M0257"/>
    <s v="RRR 257"/>
    <s v="Action"/>
    <s v="Korean"/>
    <s v="Netflix"/>
    <d v="1905-07-13T00:00:00"/>
    <s v="JANUARY"/>
    <n v="104"/>
    <n v="7.5"/>
    <n v="429868"/>
    <n v="1673.95"/>
    <s v="Lokesh Kanagaraj"/>
    <s v="RAJINIKANTH"/>
    <s v="R"/>
    <s v="Action"/>
  </r>
  <r>
    <s v="M0205"/>
    <s v="Dune: Part Two 205"/>
    <s v="Sci-Fi"/>
    <s v="English"/>
    <s v="HBO Max"/>
    <d v="1905-07-08T00:00:00"/>
    <s v="SEPTEMBER"/>
    <n v="86"/>
    <n v="8.9"/>
    <n v="139194"/>
    <n v="628.88"/>
    <s v="Vetrimaaran"/>
    <s v="RYAN GOSLING"/>
    <s v="R"/>
    <s v="Sci-Fi"/>
  </r>
  <r>
    <s v="M0357"/>
    <s v="RRR 357"/>
    <s v="Action"/>
    <s v="Telugu"/>
    <s v="Netflix"/>
    <d v="1905-07-12T00:00:00"/>
    <s v="NOVEMBER"/>
    <n v="105"/>
    <n v="6.2"/>
    <n v="370238"/>
    <n v="1012.93"/>
    <s v="Zoya Akhtar"/>
    <s v="NANI"/>
    <s v="R"/>
    <s v="Animation"/>
  </r>
  <r>
    <s v="M0307"/>
    <s v="RRR 307"/>
    <s v="Action"/>
    <s v="Telugu"/>
    <s v="Netflix"/>
    <d v="1905-07-08T00:00:00"/>
    <s v="NOVEMBER"/>
    <n v="114"/>
    <n v="6.6"/>
    <n v="119644"/>
    <n v="486.66"/>
    <s v="Denis Villeneuve"/>
    <s v="FAHADH FAASIL"/>
    <s v="U"/>
    <s v="Action"/>
  </r>
  <r>
    <s v="M0297"/>
    <s v="Gone Girl 297"/>
    <s v="Mystery"/>
    <s v="English"/>
    <s v="HBO Max"/>
    <d v="1905-07-08T00:00:00"/>
    <s v="MARCH"/>
    <n v="170"/>
    <n v="7.7"/>
    <n v="893544"/>
    <n v="1399.43"/>
    <s v="Martin Scorsese"/>
    <s v="RYAN GOSLING"/>
    <s v="PG"/>
    <s v="Sci-Fi"/>
  </r>
  <r>
    <s v="M0083"/>
    <s v="Spider-Man: No Way Home 83"/>
    <s v="Action"/>
    <s v="English"/>
    <s v="Netflix"/>
    <d v="1905-07-14T00:00:00"/>
    <s v="SEPTEMBER"/>
    <n v="113"/>
    <n v="7.4"/>
    <n v="822073"/>
    <n v="1185.6600000000001"/>
    <s v="Mani Ratnam"/>
    <s v="TOM HOLLAND"/>
    <s v="PG-13"/>
    <s v="Action"/>
  </r>
  <r>
    <s v="M0089"/>
    <s v="Top Gun: Maverick 89"/>
    <s v="Adventure"/>
    <s v="Japanese"/>
    <s v="Paramount+"/>
    <d v="1905-07-17T00:00:00"/>
    <s v="SEPTEMBER"/>
    <n v="88"/>
    <n v="6.3"/>
    <n v="727957"/>
    <n v="137.26"/>
    <s v="Lijo Jose Pellissery"/>
    <s v="RAJINIKANTH"/>
    <s v="U"/>
    <s v="Action"/>
  </r>
  <r>
    <s v="M0478"/>
    <s v="Ustad Hotel 478"/>
    <s v="Drama"/>
    <s v="Malayalam"/>
    <s v="Paramount+"/>
    <d v="1905-07-10T00:00:00"/>
    <s v="SEPTEMBER"/>
    <n v="137"/>
    <n v="6"/>
    <n v="305504"/>
    <n v="903.16"/>
    <s v="Lijo Jose Pellissery"/>
    <s v="ROBERT DOWNEY JR."/>
    <s v="U/A"/>
    <s v="Mystery"/>
  </r>
  <r>
    <s v="M0071"/>
    <s v="3 Idiots 71"/>
    <s v="Comedy"/>
    <s v="Japanese"/>
    <s v="Netflix"/>
    <d v="1905-07-13T00:00:00"/>
    <s v="DECEMBER"/>
    <n v="117"/>
    <n v="6.6"/>
    <n v="404180"/>
    <n v="323.56"/>
    <s v="Denis Villeneuve"/>
    <s v="NANI"/>
    <s v="PG"/>
    <s v="Action"/>
  </r>
  <r>
    <s v="M0440"/>
    <s v="John Wick 4 440"/>
    <s v="Action"/>
    <s v="English"/>
    <s v="Lionsgate+"/>
    <d v="1905-07-16T00:00:00"/>
    <s v="AUGUST"/>
    <n v="90"/>
    <n v="7.5"/>
    <n v="110293"/>
    <n v="1298.7"/>
    <s v="Lokesh Kanagaraj"/>
    <s v="TOM HOLLAND"/>
    <s v="15"/>
    <s v="Adventure"/>
  </r>
  <r>
    <s v="M0456"/>
    <s v="Kantara 456"/>
    <s v="Drama"/>
    <s v="Japanese"/>
    <s v="Lionsgate+"/>
    <d v="1905-07-11T00:00:00"/>
    <s v="MARCH"/>
    <n v="107"/>
    <n v="8.1999999999999993"/>
    <n v="880903"/>
    <n v="1218.68"/>
    <s v="Lokesh Kanagaraj"/>
    <s v="RANBIR KAPOOR"/>
    <s v="U"/>
    <s v="Drama"/>
  </r>
  <r>
    <s v="M0047"/>
    <s v="Gone Girl"/>
    <s v="Romance"/>
    <s v="English"/>
    <s v="Netflix"/>
    <d v="1905-07-17T00:00:00"/>
    <s v="JULY"/>
    <n v="128"/>
    <n v="8.6"/>
    <n v="191472"/>
    <n v="390.53"/>
    <s v="Vetrimaaran"/>
    <s v="ALIA BHATT"/>
    <s v="18"/>
    <s v="Comedy"/>
  </r>
  <r>
    <s v="M0210"/>
    <s v="The Batman 210"/>
    <s v="Thriller"/>
    <s v="English"/>
    <s v="HBO Max"/>
    <d v="1905-07-07T00:00:00"/>
    <s v="JUNE"/>
    <n v="188"/>
    <n v="8.8000000000000007"/>
    <n v="450979"/>
    <n v="85.28"/>
    <s v="Mani Ratnam"/>
    <s v="SHAH RUKH KHAN"/>
    <s v="PG"/>
    <s v="Action"/>
  </r>
  <r>
    <s v="M0233"/>
    <s v="Spider-Man: No Way Home 233"/>
    <s v="Action"/>
    <s v="English"/>
    <s v="Netflix"/>
    <d v="1905-07-08T00:00:00"/>
    <s v="DECEMBER"/>
    <n v="85"/>
    <n v="8"/>
    <n v="440838"/>
    <n v="1630.1"/>
    <s v="Lijo Jose Pellissery"/>
    <s v="DHANUSH"/>
    <s v="15"/>
    <s v="Drama"/>
  </r>
  <r>
    <s v="M0367"/>
    <s v="Interstellar 367"/>
    <s v="Sci-Fi"/>
    <s v="Spanish"/>
    <s v="Netflix"/>
    <d v="1905-07-14T00:00:00"/>
    <s v="JANUARY"/>
    <n v="189"/>
    <n v="7.3"/>
    <n v="164368"/>
    <n v="1237.05"/>
    <s v="Bong Joon Ho"/>
    <s v="LEONARDO DICAPRIO"/>
    <s v="15"/>
    <s v="Romance"/>
  </r>
  <r>
    <s v="M0174"/>
    <s v="KGF Chapter 2 174"/>
    <s v="Action"/>
    <s v="Kannada"/>
    <s v="Amazon Prime"/>
    <d v="1905-07-07T00:00:00"/>
    <s v="FEBRUARY"/>
    <n v="130"/>
    <n v="7.2"/>
    <n v="581941"/>
    <n v="120.56"/>
    <s v="Zoya Akhtar"/>
    <s v="DHANUSH"/>
    <s v="PG"/>
    <s v="Thriller"/>
  </r>
  <r>
    <s v="M0200"/>
    <s v="The Notebook 200"/>
    <s v="Romance"/>
    <s v="English"/>
    <s v="Peacock"/>
    <d v="1905-07-17T00:00:00"/>
    <s v="FEBRUARY"/>
    <n v="175"/>
    <n v="6.1"/>
    <n v="100607"/>
    <n v="9.07"/>
    <s v="Denis Villeneuve"/>
    <s v="RANBIR KAPOOR"/>
    <s v="18"/>
    <s v="Action"/>
  </r>
  <r>
    <s v="M0278"/>
    <s v="Ustad Hotel 278"/>
    <s v="Drama"/>
    <s v="Malayalam"/>
    <s v="Netflix"/>
    <d v="1905-07-13T00:00:00"/>
    <s v="OCTOBER"/>
    <n v="146"/>
    <n v="7.7"/>
    <n v="533825"/>
    <n v="1350.05"/>
    <s v="Bong Joon Ho"/>
    <s v="VIJAY"/>
    <s v="PG-13"/>
    <s v="Sci-Fi"/>
  </r>
  <r>
    <s v="M0334"/>
    <s v="Toy Story 4 334"/>
    <s v="Animation"/>
    <s v="English"/>
    <s v="Disney+"/>
    <d v="1905-07-11T00:00:00"/>
    <s v="DECEMBER"/>
    <n v="119"/>
    <n v="7.6"/>
    <n v="635592"/>
    <n v="423.67"/>
    <s v="Alfonso Cuarón"/>
    <s v="NANI"/>
    <s v="15"/>
    <s v="Action"/>
  </r>
  <r>
    <s v="M0007"/>
    <s v="RRR"/>
    <s v="Action"/>
    <s v="Telugu"/>
    <s v="Netflix"/>
    <d v="1905-07-17T00:00:00"/>
    <s v="AUGUST"/>
    <n v="103"/>
    <n v="7.1"/>
    <n v="589437"/>
    <n v="787.56"/>
    <s v="Lijo Jose Pellissery"/>
    <s v="DHANUSH"/>
    <s v="U/A"/>
    <s v="Romance"/>
  </r>
  <r>
    <s v="M0026"/>
    <s v="Jigarthanda DoubleX"/>
    <s v="Sci-Fi"/>
    <s v="Malayalam"/>
    <s v="HBO Max"/>
    <d v="1905-07-09T00:00:00"/>
    <s v="MARCH"/>
    <n v="137"/>
    <n v="8.6999999999999993"/>
    <n v="26790"/>
    <n v="325.08"/>
    <s v="Alfonso Cuarón"/>
    <s v="RANBIR KAPOOR"/>
    <s v="U/A"/>
    <s v="Drama"/>
  </r>
  <r>
    <s v="M0099"/>
    <s v="La La Land 99"/>
    <s v="Romance"/>
    <s v="English"/>
    <s v="Amazon Prime"/>
    <d v="1905-07-16T00:00:00"/>
    <s v="OCTOBER"/>
    <n v="149"/>
    <n v="6.5"/>
    <n v="831081"/>
    <n v="199.12"/>
    <s v="Vetrimaaran"/>
    <s v="ROBERT DOWNEY JR."/>
    <s v="U/A"/>
    <s v="Animation"/>
  </r>
  <r>
    <s v="M0133"/>
    <s v="Spider-Man: No Way Home 133"/>
    <s v="Mystery"/>
    <s v="English"/>
    <s v="Netflix"/>
    <d v="1905-07-08T00:00:00"/>
    <s v="JULY"/>
    <n v="132"/>
    <n v="7.4"/>
    <n v="384166"/>
    <n v="403.76"/>
    <s v="Greta Gerwig"/>
    <s v="LEONARDO DICAPRIO"/>
    <s v="U"/>
    <s v="Action"/>
  </r>
  <r>
    <s v="M0067"/>
    <s v="Interstellar 67"/>
    <s v="Sci-Fi"/>
    <s v="Malayalam"/>
    <s v="Netflix"/>
    <d v="1905-07-11T00:00:00"/>
    <s v="JUNE"/>
    <n v="164"/>
    <n v="6.8"/>
    <n v="893940"/>
    <n v="443.96"/>
    <s v="Vetrimaaran"/>
    <s v="ROBERT DOWNEY JR."/>
    <s v="U"/>
    <s v="Sci-Fi"/>
  </r>
  <r>
    <s v="M0472"/>
    <s v="Dangal 472"/>
    <s v="Comedy"/>
    <s v="Hindi"/>
    <s v="Amazon Prime"/>
    <d v="1905-07-10T00:00:00"/>
    <s v="MARCH"/>
    <n v="95"/>
    <n v="8"/>
    <n v="446240"/>
    <n v="1049.1099999999999"/>
    <s v="Christopher Nolan"/>
    <s v="ROBERT DOWNEY JR."/>
    <s v="U"/>
    <s v="Romance"/>
  </r>
  <r>
    <s v="M0030"/>
    <s v="Forrest Gump"/>
    <s v="Drama"/>
    <s v="English"/>
    <s v="Netflix"/>
    <d v="1905-07-17T00:00:00"/>
    <s v="APRIL"/>
    <n v="131"/>
    <n v="8.1"/>
    <n v="453048"/>
    <n v="101.6"/>
    <s v="Denis Villeneuve"/>
    <s v="RAJINIKANTH"/>
    <s v="18"/>
    <s v="Mystery"/>
  </r>
  <r>
    <s v="M0023"/>
    <s v="Bahubali 2"/>
    <s v="Action"/>
    <s v="Telugu"/>
    <s v="Netflix"/>
    <d v="1905-07-12T00:00:00"/>
    <s v="APRIL"/>
    <n v="172"/>
    <n v="6.8"/>
    <n v="513062"/>
    <n v="442.55"/>
    <s v="Rajkumar Hirani"/>
    <s v="SURIYA"/>
    <s v="U"/>
    <s v="Sci-Fi"/>
  </r>
  <r>
    <s v="M0244"/>
    <s v="Knives Out 244"/>
    <s v="Mystery"/>
    <s v="English"/>
    <s v="Netflix"/>
    <d v="1905-07-16T00:00:00"/>
    <s v="OCTOBER"/>
    <n v="172"/>
    <n v="7.6"/>
    <n v="728156"/>
    <n v="350.81"/>
    <s v="Bong Joon Ho"/>
    <s v="RANBIR KAPOOR"/>
    <s v="18"/>
    <s v="Comedy"/>
  </r>
  <r>
    <s v="M0576"/>
    <s v="Jigarthanda DoubleX 576"/>
    <s v="Action"/>
    <s v="Tamil"/>
    <s v="Netflix"/>
    <d v="1905-07-10T00:00:00"/>
    <s v="NOVEMBER"/>
    <n v="145"/>
    <n v="7"/>
    <n v="729331"/>
    <n v="682.45"/>
    <s v="Zoya Akhtar"/>
    <s v="RAJINIKANTH"/>
    <s v="PG"/>
    <s v="Drama"/>
  </r>
  <r>
    <s v="M0428"/>
    <s v="Ustad Hotel 428"/>
    <s v="Drama"/>
    <s v="Korean"/>
    <s v="Netflix"/>
    <d v="1905-07-12T00:00:00"/>
    <s v="JULY"/>
    <n v="158"/>
    <n v="7.4"/>
    <n v="4683"/>
    <n v="921.31"/>
    <s v="Mani Ratnam"/>
    <s v="SURIYA"/>
    <s v="R"/>
    <s v="Action"/>
  </r>
  <r>
    <s v="M0059"/>
    <s v="Manjummel Boys 59"/>
    <s v="Comedy"/>
    <s v="Malayalam"/>
    <s v="Disney+"/>
    <d v="1905-07-11T00:00:00"/>
    <s v="MARCH"/>
    <n v="159"/>
    <n v="5.9"/>
    <n v="96474"/>
    <n v="419.22"/>
    <s v="Martin Scorsese"/>
    <s v="MAMMOOTTY"/>
    <s v="PG"/>
    <s v="Mystery"/>
  </r>
  <r>
    <s v="M0109"/>
    <s v="Manjummel Boys 109"/>
    <s v="Adventure"/>
    <s v="Kannada"/>
    <s v="Disney+"/>
    <d v="1905-07-07T00:00:00"/>
    <s v="MAY"/>
    <n v="145"/>
    <n v="7.1"/>
    <n v="740608"/>
    <n v="582.57000000000005"/>
    <s v="Christopher Nolan"/>
    <s v="ALIA BHATT"/>
    <s v="R"/>
    <s v="Action"/>
  </r>
  <r>
    <s v="M0500"/>
    <s v="The Notebook 500"/>
    <s v="Romance"/>
    <s v="English"/>
    <s v="Netflix"/>
    <d v="1905-07-17T00:00:00"/>
    <s v="APRIL"/>
    <n v="117"/>
    <n v="5.4"/>
    <n v="580377"/>
    <n v="494.89"/>
    <s v="Lijo Jose Pellissery"/>
    <s v="MAMMOOTTY"/>
    <s v="R"/>
    <s v="Drama"/>
  </r>
  <r>
    <s v="M0416"/>
    <s v="Premam 416"/>
    <s v="Romance"/>
    <s v="Malayalam"/>
    <s v="Peacock"/>
    <d v="1905-07-12T00:00:00"/>
    <s v="MAY"/>
    <n v="122"/>
    <n v="6.3"/>
    <n v="176445"/>
    <n v="75.14"/>
    <s v="Bong Joon Ho"/>
    <s v="ALIA BHATT"/>
    <s v="18"/>
    <s v="Comedy"/>
  </r>
  <r>
    <s v="M0390"/>
    <s v="John Wick 4 390"/>
    <s v="Action"/>
    <s v="English"/>
    <s v="SonyLIV"/>
    <d v="1905-07-16T00:00:00"/>
    <s v="AUGUST"/>
    <n v="151"/>
    <n v="7.1"/>
    <n v="765405"/>
    <n v="650.64"/>
    <s v="Lijo Jose Pellissery"/>
    <s v="RANBIR KAPOOR"/>
    <s v="U/A"/>
    <s v="Adventure"/>
  </r>
  <r>
    <s v="M0479"/>
    <s v="The Dark Knight 479"/>
    <s v="Action"/>
    <s v="English"/>
    <s v="HBO Max"/>
    <d v="1905-07-13T00:00:00"/>
    <s v="AUGUST"/>
    <n v="151"/>
    <n v="7"/>
    <n v="151131"/>
    <n v="545.17999999999995"/>
    <s v="Bong Joon Ho"/>
    <s v="FAHADH FAASIL"/>
    <s v="PG"/>
    <s v="Romance"/>
  </r>
  <r>
    <s v="M0153"/>
    <s v="Premalu 153"/>
    <s v="Sci-Fi"/>
    <s v="Malayalam"/>
    <s v="Disney+"/>
    <d v="1905-07-17T00:00:00"/>
    <s v="SEPTEMBER"/>
    <n v="102"/>
    <n v="6.8"/>
    <n v="187943"/>
    <n v="852.3"/>
    <s v="Bong Joon Ho"/>
    <s v="RANBIR KAPOOR"/>
    <s v="R"/>
    <s v="Romance"/>
  </r>
  <r>
    <s v="M0360"/>
    <s v="The Batman 360"/>
    <s v="Action"/>
    <s v="Malayalam"/>
    <s v="HBO Max"/>
    <d v="1905-07-14T00:00:00"/>
    <s v="JUNE"/>
    <n v="104"/>
    <n v="7.2"/>
    <n v="145931"/>
    <n v="457.82"/>
    <s v="Jeethu Joseph"/>
    <s v="ALIA BHATT"/>
    <s v="U"/>
    <s v="Action"/>
  </r>
  <r>
    <s v="M0041"/>
    <s v="The Conjuring"/>
    <s v="Horror"/>
    <s v="English"/>
    <s v="HBO Max"/>
    <d v="1905-07-10T00:00:00"/>
    <s v="AUGUST"/>
    <n v="126"/>
    <n v="6.4"/>
    <n v="292573"/>
    <n v="1201.48"/>
    <s v="Zoya Akhtar"/>
    <s v="MOHANLAL"/>
    <s v="U"/>
    <s v="Action"/>
  </r>
  <r>
    <s v="M0116"/>
    <s v="Premam 116"/>
    <s v="Romance"/>
    <s v="Malayalam"/>
    <s v="Amazon Prime"/>
    <d v="1905-07-12T00:00:00"/>
    <s v="SEPTEMBER"/>
    <n v="119"/>
    <n v="8.1999999999999993"/>
    <n v="840864"/>
    <n v="81.96"/>
    <s v="Denis Villeneuve"/>
    <s v="FAHADH FAASIL"/>
    <s v="PG"/>
    <s v="Sci-Fi"/>
  </r>
  <r>
    <s v="M0165"/>
    <s v="Kumbalangi Nights 165"/>
    <s v="Drama"/>
    <s v="Malayalam"/>
    <s v="Netflix"/>
    <d v="1905-07-17T00:00:00"/>
    <s v="APRIL"/>
    <n v="93"/>
    <n v="7.2"/>
    <n v="531099"/>
    <n v="138.69"/>
    <s v="Martin Scorsese"/>
    <s v="ROBERT DOWNEY JR."/>
    <s v="U"/>
    <s v="Action"/>
  </r>
  <r>
    <s v="M0363"/>
    <s v="Pathaan 363"/>
    <s v="Action"/>
    <s v="Hindi"/>
    <s v="Amazon Prime"/>
    <d v="1905-07-09T00:00:00"/>
    <s v="JUNE"/>
    <n v="149"/>
    <n v="7.1"/>
    <n v="707157"/>
    <n v="629.59"/>
    <s v="Alfonso Cuarón"/>
    <s v="CHRISTIAN BALE"/>
    <s v="U/A"/>
    <s v="Horror"/>
  </r>
  <r>
    <s v="M0128"/>
    <s v="Ustad Hotel 128"/>
    <s v="Crime"/>
    <s v="Malayalam"/>
    <s v="Netflix"/>
    <d v="1905-07-07T00:00:00"/>
    <s v="MARCH"/>
    <n v="141"/>
    <n v="6.7"/>
    <n v="436610"/>
    <n v="264.56"/>
    <s v="Vetrimaaran"/>
    <s v="RAJINIKANTH"/>
    <s v="PG-13"/>
    <s v="Romance"/>
  </r>
  <r>
    <s v="M0259"/>
    <s v="Manjummel Boys 259"/>
    <s v="Drama"/>
    <s v="Malayalam"/>
    <s v="Disney+"/>
    <d v="1905-07-13T00:00:00"/>
    <s v="JULY"/>
    <n v="139"/>
    <n v="7.1"/>
    <n v="40357"/>
    <n v="765.35"/>
    <s v="Lijo Jose Pellissery"/>
    <s v="RAJINIKANTH"/>
    <s v="U/A"/>
    <s v="Drama"/>
  </r>
  <r>
    <s v="M0046"/>
    <s v="The Menu"/>
    <s v="Thriller"/>
    <s v="English"/>
    <s v="HBO Max"/>
    <d v="1905-07-16T00:00:00"/>
    <s v="SEPTEMBER"/>
    <n v="184"/>
    <n v="8.4"/>
    <n v="507783"/>
    <n v="742.73"/>
    <s v="Vetrimaaran"/>
    <s v="RANBIR KAPOOR"/>
    <s v="PG"/>
    <s v="Action"/>
  </r>
  <r>
    <s v="M0495"/>
    <s v="Glass Onion 495"/>
    <s v="Mystery"/>
    <s v="Spanish"/>
    <s v="Netflix"/>
    <d v="1905-07-13T00:00:00"/>
    <s v="JULY"/>
    <n v="167"/>
    <n v="7.6"/>
    <n v="286759"/>
    <n v="90.7"/>
    <s v="Martin Scorsese"/>
    <s v="RYAN GOSLING"/>
    <s v="18"/>
    <s v="Crime"/>
  </r>
  <r>
    <s v="M0459"/>
    <s v="Manjummel Boys 459"/>
    <s v="Mystery"/>
    <s v="Malayalam"/>
    <s v="Paramount+"/>
    <d v="1905-07-12T00:00:00"/>
    <s v="DECEMBER"/>
    <n v="99"/>
    <n v="7"/>
    <n v="146995"/>
    <n v="269.36"/>
    <s v="Anurag Kashyap"/>
    <s v="RANBIR KAPOOR"/>
    <s v="PG"/>
    <s v="Drama"/>
  </r>
  <r>
    <s v="M0548"/>
    <s v="Shutter Island 548"/>
    <s v="Drama"/>
    <s v="English"/>
    <s v="Paramount+"/>
    <d v="1905-07-07T00:00:00"/>
    <s v="SEPTEMBER"/>
    <n v="104"/>
    <n v="7.1"/>
    <n v="124261"/>
    <n v="700.24"/>
    <s v="S.S. Rajamouli"/>
    <s v="ROBERT DOWNEY JR."/>
    <s v="R"/>
    <s v="Drama"/>
  </r>
  <r>
    <s v="M0172"/>
    <s v="Dangal 172"/>
    <s v="Drama"/>
    <s v="Korean"/>
    <s v="Amazon Prime"/>
    <d v="1905-07-16T00:00:00"/>
    <s v="NOVEMBER"/>
    <n v="133"/>
    <n v="5.3"/>
    <n v="90656"/>
    <n v="537.74"/>
    <s v="Bong Joon Ho"/>
    <s v="MOHANLAL"/>
    <s v="PG"/>
    <s v="Thriller"/>
  </r>
  <r>
    <s v="M0052"/>
    <s v="Jawan 52"/>
    <s v="Action"/>
    <s v="Hindi"/>
    <s v="Netflix"/>
    <d v="1905-07-12T00:00:00"/>
    <s v="MARCH"/>
    <n v="91"/>
    <n v="7.1"/>
    <n v="265542"/>
    <n v="941.7"/>
    <s v="Anurag Kashyap"/>
    <s v="ROBERT DOWNEY JR."/>
    <s v="15"/>
    <s v="Mystery"/>
  </r>
  <r>
    <s v="M0391"/>
    <s v="The Conjuring 391"/>
    <s v="Horror"/>
    <s v="English"/>
    <s v="HBO Max"/>
    <d v="1905-07-08T00:00:00"/>
    <s v="DECEMBER"/>
    <n v="111"/>
    <n v="8.1"/>
    <n v="434953"/>
    <n v="41.73"/>
    <s v="Christopher Nolan"/>
    <s v="PRABHAS"/>
    <s v="PG"/>
    <s v="Mystery"/>
  </r>
  <r>
    <s v="M0274"/>
    <s v="KGF Chapter 2 274"/>
    <s v="Action"/>
    <s v="Kannada"/>
    <s v="Amazon Prime"/>
    <d v="1905-07-08T00:00:00"/>
    <s v="OCTOBER"/>
    <n v="164"/>
    <n v="7.1"/>
    <n v="669307"/>
    <n v="326.12"/>
    <s v="Martin Scorsese"/>
    <s v="SHAH RUKH KHAN"/>
    <s v="PG"/>
    <s v="Drama"/>
  </r>
  <r>
    <s v="M0395"/>
    <s v="Glass Onion 395"/>
    <s v="Mystery"/>
    <s v="French"/>
    <s v="SonyLIV"/>
    <d v="1905-07-16T00:00:00"/>
    <s v="JULY"/>
    <n v="108"/>
    <n v="6"/>
    <n v="788847"/>
    <n v="513.64"/>
    <s v="S.S. Rajamouli"/>
    <s v="SURIYA"/>
    <s v="PG-13"/>
    <s v="Drama"/>
  </r>
  <r>
    <s v="M0325"/>
    <s v="Sita Ramam 325"/>
    <s v="Romance"/>
    <s v="Telugu"/>
    <s v="HBO Max"/>
    <d v="1905-07-10T00:00:00"/>
    <s v="APRIL"/>
    <n v="116"/>
    <n v="7.6"/>
    <n v="817576"/>
    <n v="198.23"/>
    <s v="Denis Villeneuve"/>
    <s v="TOM HOLLAND"/>
    <s v="U"/>
    <s v="Action"/>
  </r>
  <r>
    <s v="M0010"/>
    <s v="The Batman"/>
    <s v="Action"/>
    <s v="Telugu"/>
    <s v="Lionsgate+"/>
    <d v="1905-07-16T00:00:00"/>
    <s v="APRIL"/>
    <n v="104"/>
    <n v="5.9"/>
    <n v="392877"/>
    <n v="843.48"/>
    <s v="Denis Villeneuve"/>
    <s v="RAJINIKANTH"/>
    <s v="U"/>
    <s v="Horror"/>
  </r>
  <r>
    <s v="M0379"/>
    <s v="The Dark Knight 379"/>
    <s v="Action"/>
    <s v="Tamil"/>
    <s v="HBO Max"/>
    <d v="1905-07-07T00:00:00"/>
    <s v="OCTOBER"/>
    <n v="179"/>
    <n v="7.7"/>
    <n v="414096"/>
    <n v="887.26"/>
    <s v="Greta Gerwig"/>
    <s v="MAMMOOTTY"/>
    <s v="PG-13"/>
    <s v="Action"/>
  </r>
  <r>
    <s v="M0532"/>
    <s v="Avengers: Endgame 532"/>
    <s v="Crime"/>
    <s v="English"/>
    <s v="Disney+"/>
    <d v="1905-07-16T00:00:00"/>
    <s v="APRIL"/>
    <n v="121"/>
    <n v="8.1"/>
    <n v="725048"/>
    <n v="989.68"/>
    <s v="Lokesh Kanagaraj"/>
    <s v="PRABHAS"/>
    <s v="15"/>
    <s v="Mystery"/>
  </r>
  <r>
    <s v="M0460"/>
    <s v="The Batman 460"/>
    <s v="Action"/>
    <s v="English"/>
    <s v="HBO Max"/>
    <d v="1905-07-16T00:00:00"/>
    <s v="SEPTEMBER"/>
    <n v="113"/>
    <n v="5.6"/>
    <n v="820034"/>
    <n v="623.04"/>
    <s v="Rajkumar Hirani"/>
    <s v="RYAN GOSLING"/>
    <s v="18"/>
    <s v="Romance"/>
  </r>
  <r>
    <s v="M0142"/>
    <s v="Get Out 142"/>
    <s v="Horror"/>
    <s v="English"/>
    <s v="Netflix"/>
    <d v="1905-07-15T00:00:00"/>
    <s v="MARCH"/>
    <n v="137"/>
    <n v="7.4"/>
    <n v="685407"/>
    <n v="1563.62"/>
    <s v="Martin Scorsese"/>
    <s v="PRABHAS"/>
    <s v="PG"/>
    <s v="Action"/>
  </r>
  <r>
    <s v="M0579"/>
    <s v="The Dark Knight 579"/>
    <s v="Action"/>
    <s v="English"/>
    <s v="HBO Max"/>
    <d v="1905-07-11T00:00:00"/>
    <s v="DECEMBER"/>
    <n v="107"/>
    <n v="6.7"/>
    <n v="188014"/>
    <n v="100.17"/>
    <s v="Lijo Jose Pellissery"/>
    <s v="MAMMOOTTY"/>
    <s v="R"/>
    <s v="Action"/>
  </r>
  <r>
    <s v="M0176"/>
    <s v="Jigarthanda DoubleX 176"/>
    <s v="Action"/>
    <s v="Tamil"/>
    <s v="Netflix"/>
    <d v="1905-07-11T00:00:00"/>
    <s v="APRIL"/>
    <n v="177"/>
    <n v="7.8"/>
    <n v="656195"/>
    <n v="616.26"/>
    <s v="Rajkumar Hirani"/>
    <s v="VIJAY"/>
    <s v="U"/>
    <s v="Crime"/>
  </r>
  <r>
    <s v="M0135"/>
    <s v="Coco 135"/>
    <s v="Mystery"/>
    <s v="English"/>
    <s v="Lionsgate+"/>
    <d v="1905-07-14T00:00:00"/>
    <s v="DECEMBER"/>
    <n v="157"/>
    <n v="6.8"/>
    <n v="387051"/>
    <n v="129.12"/>
    <s v="Denis Villeneuve"/>
    <s v="DULQUER SALMAAN"/>
    <s v="15"/>
    <s v="Action"/>
  </r>
  <r>
    <s v="M0552"/>
    <s v="Jawan 552"/>
    <s v="Action"/>
    <s v="Hindi"/>
    <s v="Apple TV+"/>
    <d v="1905-07-15T00:00:00"/>
    <s v="NOVEMBER"/>
    <n v="100"/>
    <n v="6.8"/>
    <n v="675992"/>
    <n v="294"/>
    <s v="Denis Villeneuve"/>
    <s v="CHRISTIAN BALE"/>
    <s v="R"/>
    <s v="Horror"/>
  </r>
  <r>
    <s v="M0070"/>
    <s v="Train to Busan 70"/>
    <s v="Horror"/>
    <s v="Malayalam"/>
    <s v="Netflix"/>
    <d v="1905-07-17T00:00:00"/>
    <s v="MAY"/>
    <n v="143"/>
    <n v="8"/>
    <n v="268529"/>
    <n v="1141.98"/>
    <s v="Lijo Jose Pellissery"/>
    <s v="DULQUER SALMAAN"/>
    <s v="U/A"/>
    <s v="Action"/>
  </r>
  <r>
    <s v="M0180"/>
    <s v="Forrest Gump 180"/>
    <s v="Drama"/>
    <s v="English"/>
    <s v="Netflix"/>
    <d v="1905-07-13T00:00:00"/>
    <s v="JULY"/>
    <n v="94"/>
    <n v="7.4"/>
    <n v="471680"/>
    <n v="993.45"/>
    <s v="Greta Gerwig"/>
    <s v="CHRISTIAN BALE"/>
    <s v="15"/>
    <s v="Action"/>
  </r>
  <r>
    <s v="M0376"/>
    <s v="Jigarthanda DoubleX 376"/>
    <s v="Thriller"/>
    <s v="Tamil"/>
    <s v="Apple TV+"/>
    <d v="1905-07-09T00:00:00"/>
    <s v="APRIL"/>
    <n v="98"/>
    <n v="6.6"/>
    <n v="138735"/>
    <n v="282.54000000000002"/>
    <s v="Denis Villeneuve"/>
    <s v="RANBIR KAPOOR"/>
    <s v="U/A"/>
    <s v="Mystery"/>
  </r>
  <r>
    <s v="M0454"/>
    <s v="Drishyam 2 454"/>
    <s v="Thriller"/>
    <s v="Malayalam"/>
    <s v="Netflix"/>
    <d v="1905-07-11T00:00:00"/>
    <s v="APRIL"/>
    <n v="93"/>
    <n v="7.5"/>
    <n v="23907"/>
    <n v="514.21"/>
    <s v="Anurag Kashyap"/>
    <s v="RAJINIKANTH"/>
    <s v="PG-13"/>
    <s v="Action"/>
  </r>
  <r>
    <s v="M0320"/>
    <s v="Train to Busan 320"/>
    <s v="Horror"/>
    <s v="Korean"/>
    <s v="Netflix"/>
    <d v="1905-07-10T00:00:00"/>
    <s v="SEPTEMBER"/>
    <n v="86"/>
    <n v="7.1"/>
    <n v="773522"/>
    <n v="1228.17"/>
    <s v="Bong Joon Ho"/>
    <s v="RYAN GOSLING"/>
    <s v="PG"/>
    <s v="Horror"/>
  </r>
  <r>
    <s v="M0591"/>
    <s v="The Conjuring 591"/>
    <s v="Horror"/>
    <s v="English"/>
    <s v="Lionsgate+"/>
    <d v="1905-07-11T00:00:00"/>
    <s v="JUNE"/>
    <n v="160"/>
    <n v="8.5"/>
    <n v="146693"/>
    <n v="288.17"/>
    <s v="Denis Villeneuve"/>
    <s v="DHANUSH"/>
    <s v="U/A"/>
    <s v="Drama"/>
  </r>
  <r>
    <s v="M0499"/>
    <s v="La La Land 499"/>
    <s v="Romance"/>
    <s v="English"/>
    <s v="Hulu"/>
    <d v="1905-07-15T00:00:00"/>
    <s v="JULY"/>
    <n v="145"/>
    <n v="6.4"/>
    <n v="922952"/>
    <n v="347.98"/>
    <s v="Bong Joon Ho"/>
    <s v="NANI"/>
    <s v="U"/>
    <s v="Thriller"/>
  </r>
  <r>
    <s v="M0324"/>
    <s v="KGF Chapter 2 324"/>
    <s v="Action"/>
    <s v="Kannada"/>
    <s v="Amazon Prime"/>
    <d v="1905-07-15T00:00:00"/>
    <s v="MARCH"/>
    <n v="145"/>
    <n v="5.9"/>
    <n v="329919"/>
    <n v="609.1"/>
    <s v="Lokesh Kanagaraj"/>
    <s v="PRABHAS"/>
    <s v="18"/>
    <s v="Thriller"/>
  </r>
  <r>
    <s v="M0088"/>
    <s v="Frozen II 88"/>
    <s v="Animation"/>
    <s v="English"/>
    <s v="Disney+"/>
    <d v="1905-07-09T00:00:00"/>
    <s v="NOVEMBER"/>
    <n v="146"/>
    <n v="6.7"/>
    <n v="235937"/>
    <n v="667.28"/>
    <s v="Rajkumar Hirani"/>
    <s v="ALIA BHATT"/>
    <s v="U/A"/>
    <s v="Horror"/>
  </r>
  <r>
    <s v="M0432"/>
    <s v="Avengers: Endgame 432"/>
    <s v="Action"/>
    <s v="English"/>
    <s v="Netflix"/>
    <d v="1905-07-13T00:00:00"/>
    <s v="FEBRUARY"/>
    <n v="112"/>
    <n v="7.2"/>
    <n v="847109"/>
    <n v="706.65"/>
    <s v="Bong Joon Ho"/>
    <s v="RANBIR KAPOOR"/>
    <s v="U"/>
    <s v="Horror"/>
  </r>
  <r>
    <s v="M0277"/>
    <s v="Bangalore Days 277"/>
    <s v="Romance"/>
    <s v="Korean"/>
    <s v="Disney+"/>
    <d v="1905-07-10T00:00:00"/>
    <s v="DECEMBER"/>
    <n v="128"/>
    <n v="7.8"/>
    <n v="664800"/>
    <n v="994.99"/>
    <s v="Mani Ratnam"/>
    <s v="CHRISTIAN BALE"/>
    <s v="PG-13"/>
    <s v="Romance"/>
  </r>
  <r>
    <s v="M0452"/>
    <s v="Jawan 452"/>
    <s v="Action"/>
    <s v="Hindi"/>
    <s v="Netflix"/>
    <d v="1905-07-11T00:00:00"/>
    <s v="AUGUST"/>
    <n v="164"/>
    <n v="7.2"/>
    <n v="386828"/>
    <n v="1429.5"/>
    <s v="Jeethu Joseph"/>
    <s v="SHAH RUKH KHAN"/>
    <s v="U"/>
    <s v="Action"/>
  </r>
  <r>
    <s v="M0522"/>
    <s v="Dangal 522"/>
    <s v="Animation"/>
    <s v="Hindi"/>
    <s v="Apple TV+"/>
    <d v="1905-07-10T00:00:00"/>
    <s v="SEPTEMBER"/>
    <n v="139"/>
    <n v="6.2"/>
    <n v="310634"/>
    <n v="642.30999999999995"/>
    <s v="Greta Gerwig"/>
    <s v="MAMMOOTTY"/>
    <s v="PG-13"/>
    <s v="Animation"/>
  </r>
  <r>
    <s v="M0517"/>
    <s v="Interstellar 517"/>
    <s v="Sci-Fi"/>
    <s v="Kannada"/>
    <s v="Netflix"/>
    <d v="1905-07-08T00:00:00"/>
    <s v="AUGUST"/>
    <n v="175"/>
    <n v="6.8"/>
    <n v="283200"/>
    <n v="125.3"/>
    <s v="Martin Scorsese"/>
    <s v="SHAH RUKH KHAN"/>
    <s v="18"/>
    <s v="Action"/>
  </r>
  <r>
    <s v="M0427"/>
    <s v="Bangalore Days 427"/>
    <s v="Romance"/>
    <s v="Malayalam"/>
    <s v="Disney+"/>
    <d v="1905-07-08T00:00:00"/>
    <s v="AUGUST"/>
    <n v="176"/>
    <n v="7.2"/>
    <n v="74632"/>
    <n v="356.21"/>
    <s v="Christopher Nolan"/>
    <s v="ROBERT DOWNEY JR."/>
    <s v="18"/>
    <s v="Romance"/>
  </r>
  <r>
    <s v="M0529"/>
    <s v="The Dark Knight 529"/>
    <s v="Thriller"/>
    <s v="English"/>
    <s v="HBO Max"/>
    <d v="1905-07-15T00:00:00"/>
    <s v="OCTOBER"/>
    <n v="177"/>
    <n v="6.3"/>
    <n v="857160"/>
    <n v="511.17"/>
    <s v="Greta Gerwig"/>
    <s v="TOM HOLLAND"/>
    <s v="15"/>
    <s v="Action"/>
  </r>
  <r>
    <s v="M0549"/>
    <s v="La La Land 549"/>
    <s v="Romance"/>
    <s v="English"/>
    <s v="Netflix"/>
    <d v="1905-07-11T00:00:00"/>
    <s v="MAY"/>
    <n v="112"/>
    <n v="7.7"/>
    <n v="2987"/>
    <n v="101.42"/>
    <s v="Anurag Kashyap"/>
    <s v="ROBERT DOWNEY JR."/>
    <s v="PG"/>
    <s v="Animation"/>
  </r>
  <r>
    <s v="M0419"/>
    <s v="Parasite 419"/>
    <s v="Action"/>
    <s v="Korean"/>
    <s v="Hulu"/>
    <d v="1905-07-09T00:00:00"/>
    <s v="OCTOBER"/>
    <n v="190"/>
    <n v="7.7"/>
    <n v="433807"/>
    <n v="462.21"/>
    <s v="Bong Joon Ho"/>
    <s v="FAHADH FAASIL"/>
    <s v="15"/>
    <s v="Sci-Fi"/>
  </r>
  <r>
    <s v="M0464"/>
    <s v="Vikram 464"/>
    <s v="Sci-Fi"/>
    <s v="Tamil"/>
    <s v="Disney+"/>
    <d v="1905-07-16T00:00:00"/>
    <s v="MARCH"/>
    <n v="110"/>
    <n v="7.7"/>
    <n v="195841"/>
    <n v="570.91999999999996"/>
    <s v="Christopher Nolan"/>
    <s v="DULQUER SALMAAN"/>
    <s v="PG"/>
    <s v="Romance"/>
  </r>
  <r>
    <s v="M0225"/>
    <s v="Sita Ramam 225"/>
    <s v="Adventure"/>
    <s v="Telugu"/>
    <s v="Amazon Prime"/>
    <d v="1905-07-07T00:00:00"/>
    <s v="JUNE"/>
    <n v="161"/>
    <n v="7.5"/>
    <n v="817156"/>
    <n v="445.64"/>
    <s v="Greta Gerwig"/>
    <s v="NANI"/>
    <s v="U/A"/>
    <s v="Thriller"/>
  </r>
  <r>
    <s v="M0213"/>
    <s v="Pathaan 213"/>
    <s v="Action"/>
    <s v="Hindi"/>
    <s v="Amazon Prime"/>
    <d v="1905-07-07T00:00:00"/>
    <s v="MARCH"/>
    <n v="113"/>
    <n v="7.9"/>
    <n v="421200"/>
    <n v="74.760000000000005"/>
    <s v="Alfonso Cuarón"/>
    <s v="DULQUER SALMAAN"/>
    <s v="U"/>
    <s v="Romance"/>
  </r>
  <r>
    <s v="M0556"/>
    <s v="Kantara 556"/>
    <s v="Drama"/>
    <s v="Kannada"/>
    <s v="Apple TV+"/>
    <d v="1905-07-13T00:00:00"/>
    <s v="FEBRUARY"/>
    <n v="91"/>
    <n v="6.9"/>
    <n v="213198"/>
    <n v="294.86"/>
    <s v="Mani Ratnam"/>
    <s v="CHRISTIAN BALE"/>
    <s v="PG-13"/>
    <s v="Action"/>
  </r>
  <r>
    <s v="M0359"/>
    <s v="Manjummel Boys 359"/>
    <s v="Adventure"/>
    <s v="Malayalam"/>
    <s v="Disney+"/>
    <d v="1905-07-07T00:00:00"/>
    <s v="SEPTEMBER"/>
    <n v="102"/>
    <n v="7.8"/>
    <n v="315722"/>
    <n v="551.16"/>
    <s v="Christopher Nolan"/>
    <s v="ALIA BHATT"/>
    <s v="15"/>
    <s v="Sci-Fi"/>
  </r>
  <r>
    <s v="M0214"/>
    <s v="Vikram 214"/>
    <s v="Action"/>
    <s v="Tamil"/>
    <s v="Disney+"/>
    <d v="1905-07-16T00:00:00"/>
    <s v="MAY"/>
    <n v="179"/>
    <n v="5.2"/>
    <n v="653766"/>
    <n v="203.1"/>
    <s v="Alfonso Cuarón"/>
    <s v="PRABHAS"/>
    <s v="R"/>
    <s v="Adventure"/>
  </r>
  <r>
    <s v="M0544"/>
    <s v="Knives Out 544"/>
    <s v="Mystery"/>
    <s v="English"/>
    <s v="Lionsgate+"/>
    <d v="1905-07-16T00:00:00"/>
    <s v="APRIL"/>
    <n v="129"/>
    <n v="8.1"/>
    <n v="314535"/>
    <n v="439.57"/>
    <s v="Bong Joon Ho"/>
    <s v="DHANUSH"/>
    <s v="18"/>
    <s v="Action"/>
  </r>
  <r>
    <s v="M0481"/>
    <s v="The Shawshank Redemption 481"/>
    <s v="Drama"/>
    <s v="Spanish"/>
    <s v="HBO Max"/>
    <d v="1905-07-09T00:00:00"/>
    <s v="AUGUST"/>
    <n v="98"/>
    <n v="7.1"/>
    <n v="242834"/>
    <n v="268.62"/>
    <s v="Bong Joon Ho"/>
    <s v="LEONARDO DICAPRIO"/>
    <s v="PG-13"/>
    <s v="Drama"/>
  </r>
  <r>
    <s v="M0045"/>
    <s v="Glass Onion"/>
    <s v="Mystery"/>
    <s v="English"/>
    <s v="Netflix"/>
    <d v="1905-07-08T00:00:00"/>
    <s v="SEPTEMBER"/>
    <n v="167"/>
    <n v="6.4"/>
    <n v="863076"/>
    <n v="457.78"/>
    <s v="Martin Scorsese"/>
    <s v="SHAH RUKH KHAN"/>
    <s v="PG-13"/>
    <s v="Adventure"/>
  </r>
  <r>
    <s v="M0294"/>
    <s v="Knives Out 294"/>
    <s v="Drama"/>
    <s v="English"/>
    <s v="Netflix"/>
    <d v="1905-07-16T00:00:00"/>
    <s v="FEBRUARY"/>
    <n v="121"/>
    <n v="7.9"/>
    <n v="803248"/>
    <n v="777.87"/>
    <s v="Mani Ratnam"/>
    <s v="FAHADH FAASIL"/>
    <s v="U/A"/>
    <s v="Action"/>
  </r>
  <r>
    <s v="M0341"/>
    <s v="The Conjuring 341"/>
    <s v="Sci-Fi"/>
    <s v="Tamil"/>
    <s v="HBO Max"/>
    <d v="1905-07-13T00:00:00"/>
    <s v="NOVEMBER"/>
    <n v="115"/>
    <n v="5.9"/>
    <n v="643803"/>
    <n v="1089.7"/>
    <s v="Martin Scorsese"/>
    <s v="RYAN GOSLING"/>
    <s v="PG-13"/>
    <s v="Mystery"/>
  </r>
  <r>
    <s v="M0451"/>
    <s v="Leo 451"/>
    <s v="Mystery"/>
    <s v="Tamil"/>
    <s v="HBO Max"/>
    <d v="1905-07-12T00:00:00"/>
    <s v="JUNE"/>
    <n v="119"/>
    <n v="6.4"/>
    <n v="57905"/>
    <n v="55.16"/>
    <s v="Greta Gerwig"/>
    <s v="CHRISTIAN BALE"/>
    <s v="PG-13"/>
    <s v="Drama"/>
  </r>
  <r>
    <s v="M0502"/>
    <s v="Jawan 502"/>
    <s v="Sci-Fi"/>
    <s v="Hindi"/>
    <s v="Netflix"/>
    <d v="1905-07-08T00:00:00"/>
    <s v="AUGUST"/>
    <n v="145"/>
    <n v="7.9"/>
    <n v="773539"/>
    <n v="671.96"/>
    <s v="Lijo Jose Pellissery"/>
    <s v="MAMMOOTTY"/>
    <s v="18"/>
    <s v="Mystery"/>
  </r>
  <r>
    <s v="M0541"/>
    <s v="The Conjuring 541"/>
    <s v="Horror"/>
    <s v="English"/>
    <s v="Paramount+"/>
    <d v="1905-07-12T00:00:00"/>
    <s v="NOVEMBER"/>
    <n v="136"/>
    <n v="7.4"/>
    <n v="89174"/>
    <n v="33.97"/>
    <s v="Greta Gerwig"/>
    <s v="RYAN GOSLING"/>
    <s v="U/A"/>
    <s v="Drama"/>
  </r>
  <r>
    <s v="M0569"/>
    <s v="Parasite 569"/>
    <s v="Thriller"/>
    <s v="English"/>
    <s v="HBO Max"/>
    <d v="1905-07-13T00:00:00"/>
    <s v="FEBRUARY"/>
    <n v="116"/>
    <n v="7.4"/>
    <n v="66696"/>
    <n v="227.71"/>
    <s v="Anurag Kashyap"/>
    <s v="TOM HOLLAND"/>
    <s v="R"/>
    <s v="Sci-Fi"/>
  </r>
  <r>
    <s v="M0129"/>
    <s v="The Dark Knight 129"/>
    <s v="Action"/>
    <s v="English"/>
    <s v="HBO Max"/>
    <d v="1905-07-12T00:00:00"/>
    <s v="APRIL"/>
    <n v="144"/>
    <n v="7.8"/>
    <n v="148520"/>
    <n v="71.38"/>
    <s v="Zoya Akhtar"/>
    <s v="SURIYA"/>
    <s v="R"/>
    <s v="Mystery"/>
  </r>
  <r>
    <s v="M0415"/>
    <s v="Kumbalangi Nights 415"/>
    <s v="Drama"/>
    <s v="Malayalam"/>
    <s v="Netflix"/>
    <d v="1905-07-17T00:00:00"/>
    <s v="NOVEMBER"/>
    <n v="94"/>
    <n v="6.8"/>
    <n v="608584"/>
    <n v="91.71"/>
    <s v="Greta Gerwig"/>
    <s v="TOM HOLLAND"/>
    <s v="PG-13"/>
    <s v="Sci-Fi"/>
  </r>
  <r>
    <s v="M0513"/>
    <s v="Pathaan 513"/>
    <s v="Action"/>
    <s v="Hindi"/>
    <s v="Apple TV+"/>
    <d v="1905-07-16T00:00:00"/>
    <s v="MAY"/>
    <n v="151"/>
    <n v="6.6"/>
    <n v="331670"/>
    <n v="755.87"/>
    <s v="Greta Gerwig"/>
    <s v="SHAH RUKH KHAN"/>
    <s v="U/A"/>
    <s v="Horror"/>
  </r>
  <r>
    <s v="M0137"/>
    <s v="Zootopia 137"/>
    <s v="Drama"/>
    <s v="English"/>
    <s v="Disney+"/>
    <d v="1905-07-13T00:00:00"/>
    <s v="MARCH"/>
    <n v="137"/>
    <n v="6.9"/>
    <n v="813417"/>
    <n v="608.41999999999996"/>
    <s v="Bong Joon Ho"/>
    <s v="VIJAY"/>
    <s v="U/A"/>
    <s v="Thriller"/>
  </r>
  <r>
    <s v="M0462"/>
    <s v="Barbie 462"/>
    <s v="Comedy"/>
    <s v="English"/>
    <s v="HBO Max"/>
    <d v="1905-07-14T00:00:00"/>
    <s v="SEPTEMBER"/>
    <n v="96"/>
    <n v="6.7"/>
    <n v="226972"/>
    <n v="689.21"/>
    <s v="Alfonso Cuarón"/>
    <s v="SHAH RUKH KHAN"/>
    <s v="U/A"/>
    <s v="Action"/>
  </r>
  <r>
    <s v="M0523"/>
    <s v="Bahubali 2 523"/>
    <s v="Action"/>
    <s v="Telugu"/>
    <s v="Apple TV+"/>
    <d v="1905-07-12T00:00:00"/>
    <s v="MAY"/>
    <n v="159"/>
    <n v="8"/>
    <n v="120270"/>
    <n v="724.27"/>
    <s v="Zoya Akhtar"/>
    <s v="DHANUSH"/>
    <s v="U"/>
    <s v="Drama"/>
  </r>
  <r>
    <s v="M0547"/>
    <s v="Gone Girl 547"/>
    <s v="Mystery"/>
    <s v="English"/>
    <s v="Netflix"/>
    <d v="1905-07-14T00:00:00"/>
    <s v="MARCH"/>
    <n v="175"/>
    <n v="6.3"/>
    <n v="729005"/>
    <n v="217.4"/>
    <s v="Greta Gerwig"/>
    <s v="NANI"/>
    <s v="15"/>
    <s v="Action"/>
  </r>
  <r>
    <s v="M0147"/>
    <s v="Gone Girl 147"/>
    <s v="Mystery"/>
    <s v="English"/>
    <s v="Netflix"/>
    <d v="1905-07-12T00:00:00"/>
    <s v="DECEMBER"/>
    <n v="115"/>
    <n v="7.5"/>
    <n v="322509"/>
    <n v="224.56"/>
    <s v="Bong Joon Ho"/>
    <s v="MAMMOOTTY"/>
    <s v="PG"/>
    <s v="Drama"/>
  </r>
  <r>
    <s v="M0201"/>
    <s v="Leo 201"/>
    <s v="Action"/>
    <s v="Tamil"/>
    <s v="Netflix"/>
    <d v="1905-07-08T00:00:00"/>
    <s v="JULY"/>
    <n v="173"/>
    <n v="7.4"/>
    <n v="402477"/>
    <n v="149.72999999999999"/>
    <s v="Vetrimaaran"/>
    <s v="NANI"/>
    <s v="U/A"/>
    <s v="Comedy"/>
  </r>
  <r>
    <s v="M0085"/>
    <s v="Coco 85"/>
    <s v="Adventure"/>
    <s v="English"/>
    <s v="Disney+"/>
    <d v="1905-07-13T00:00:00"/>
    <s v="FEBRUARY"/>
    <n v="186"/>
    <n v="6.8"/>
    <n v="683335"/>
    <n v="987.19"/>
    <s v="Anurag Kashyap"/>
    <s v="SHAH RUKH KHAN"/>
    <s v="PG-13"/>
    <s v="Action"/>
  </r>
  <r>
    <s v="M0439"/>
    <s v="Top Gun: Maverick 439"/>
    <s v="Action"/>
    <s v="English"/>
    <s v="Paramount+"/>
    <d v="1905-07-11T00:00:00"/>
    <s v="JANUARY"/>
    <n v="109"/>
    <n v="7.5"/>
    <n v="885569"/>
    <n v="963.65"/>
    <s v="Lokesh Kanagaraj"/>
    <s v="LEONARDO DICAPRIO"/>
    <s v="18"/>
    <s v="Mystery"/>
  </r>
  <r>
    <s v="M0144"/>
    <s v="Knives Out 144"/>
    <s v="Thriller"/>
    <s v="English"/>
    <s v="Netflix"/>
    <d v="1905-07-16T00:00:00"/>
    <s v="FEBRUARY"/>
    <n v="127"/>
    <n v="5.5"/>
    <n v="299184"/>
    <n v="584.5"/>
    <s v="Lijo Jose Pellissery"/>
    <s v="VIJAY"/>
    <s v="PG-13"/>
    <s v="Mystery"/>
  </r>
  <r>
    <s v="M0434"/>
    <s v="Toy Story 4 434"/>
    <s v="Drama"/>
    <s v="English"/>
    <s v="Disney+"/>
    <d v="1905-07-16T00:00:00"/>
    <s v="APRIL"/>
    <n v="93"/>
    <n v="6.8"/>
    <n v="844330"/>
    <n v="159.93"/>
    <s v="Vetrimaaran"/>
    <s v="MAMMOOTTY"/>
    <s v="15"/>
    <s v="Action"/>
  </r>
  <r>
    <s v="M0543"/>
    <s v="A Quiet Place 543"/>
    <s v="Horror"/>
    <s v="English"/>
    <s v="Paramount+"/>
    <d v="1905-07-17T00:00:00"/>
    <s v="SEPTEMBER"/>
    <n v="130"/>
    <n v="8.1"/>
    <n v="131609"/>
    <n v="525.13"/>
    <s v="Mani Ratnam"/>
    <s v="RAJINIKANTH"/>
    <s v="R"/>
    <s v="Action"/>
  </r>
  <r>
    <s v="M0048"/>
    <s v="Shutter Island"/>
    <s v="Adventure"/>
    <s v="English"/>
    <s v="Amazon Prime"/>
    <d v="1905-07-10T00:00:00"/>
    <s v="DECEMBER"/>
    <n v="137"/>
    <n v="7.5"/>
    <n v="513111"/>
    <n v="336.65"/>
    <s v="Martin Scorsese"/>
    <s v="ROBERT DOWNEY JR."/>
    <s v="R"/>
    <s v="Adventure"/>
  </r>
  <r>
    <s v="M0598"/>
    <s v="Shutter Island 598"/>
    <s v="Mystery"/>
    <s v="English"/>
    <s v="Paramount+"/>
    <d v="1905-07-10T00:00:00"/>
    <s v="AUGUST"/>
    <n v="137"/>
    <n v="7.6"/>
    <n v="799668"/>
    <n v="1038.8900000000001"/>
    <s v="Alfonso Cuarón"/>
    <s v="MAMMOOTTY"/>
    <s v="R"/>
    <s v="Action"/>
  </r>
  <r>
    <s v="M0436"/>
    <s v="Inside Out 436"/>
    <s v="Animation"/>
    <s v="English"/>
    <s v="Disney+"/>
    <d v="1905-07-13T00:00:00"/>
    <s v="MARCH"/>
    <n v="87"/>
    <n v="7.5"/>
    <n v="923155"/>
    <n v="103.44"/>
    <s v="Lijo Jose Pellissery"/>
    <s v="MOHANLAL"/>
    <s v="PG"/>
    <s v="Thriller"/>
  </r>
  <r>
    <s v="M0443"/>
    <s v="A Quiet Place 443"/>
    <s v="Horror"/>
    <s v="English"/>
    <s v="Paramount+"/>
    <d v="1905-07-07T00:00:00"/>
    <s v="MAY"/>
    <n v="102"/>
    <n v="7.8"/>
    <n v="439339"/>
    <n v="137.91"/>
    <s v="Denis Villeneuve"/>
    <s v="FAHADH FAASIL"/>
    <s v="U/A"/>
    <s v="Drama"/>
  </r>
  <r>
    <s v="M0588"/>
    <s v="Frozen II 588"/>
    <s v="Animation"/>
    <s v="English"/>
    <s v="Peacock"/>
    <d v="1905-07-13T00:00:00"/>
    <s v="OCTOBER"/>
    <n v="181"/>
    <n v="7.3"/>
    <n v="687940"/>
    <n v="25.65"/>
    <s v="Zoya Akhtar"/>
    <s v="DHANUSH"/>
    <s v="U/A"/>
    <s v="Horror"/>
  </r>
  <r>
    <s v="M0100"/>
    <s v="The Notebook 100"/>
    <s v="Animation"/>
    <s v="English"/>
    <s v="Hulu"/>
    <d v="1905-07-08T00:00:00"/>
    <s v="SEPTEMBER"/>
    <n v="167"/>
    <n v="7.9"/>
    <n v="181741"/>
    <n v="64.89"/>
    <s v="Greta Gerwig"/>
    <s v="CHRISTIAN BALE"/>
    <s v="U/A"/>
    <s v="Adventure"/>
  </r>
  <r>
    <s v="M0192"/>
    <s v="Get Out 192"/>
    <s v="Drama"/>
    <s v="English"/>
    <s v="Netflix"/>
    <d v="1905-07-10T00:00:00"/>
    <s v="MAY"/>
    <n v="89"/>
    <n v="7.4"/>
    <n v="472378"/>
    <n v="441.83"/>
    <s v="Mani Ratnam"/>
    <s v="MAMMOOTTY"/>
    <s v="U/A"/>
    <s v="Mystery"/>
  </r>
  <r>
    <s v="M0060"/>
    <s v="The Batman 60"/>
    <s v="Action"/>
    <s v="English"/>
    <s v="HBO Max"/>
    <d v="1905-07-13T00:00:00"/>
    <s v="SEPTEMBER"/>
    <n v="89"/>
    <n v="7.7"/>
    <n v="477719"/>
    <n v="59.39"/>
    <s v="Alfonso Cuarón"/>
    <s v="DHANUSH"/>
    <s v="R"/>
    <s v="Animation"/>
  </r>
  <r>
    <s v="M0012"/>
    <s v="Barbie"/>
    <s v="Comedy"/>
    <s v="Korean"/>
    <s v="Lionsgate+"/>
    <d v="1905-07-10T00:00:00"/>
    <s v="DECEMBER"/>
    <n v="124"/>
    <n v="5.9"/>
    <n v="419173"/>
    <n v="1282.3599999999999"/>
    <s v="Lijo Jose Pellissery"/>
    <s v="CHRISTIAN BALE"/>
    <s v="U"/>
    <s v="Horror"/>
  </r>
  <r>
    <s v="M0027"/>
    <s v="Bangalore Days"/>
    <s v="Drama"/>
    <s v="Malayalam"/>
    <s v="Disney+"/>
    <d v="1905-07-14T00:00:00"/>
    <s v="APRIL"/>
    <n v="110"/>
    <n v="7.5"/>
    <n v="320815"/>
    <n v="1364.01"/>
    <s v="Christopher Nolan"/>
    <s v="PRABHAS"/>
    <s v="PG"/>
    <s v="Animation"/>
  </r>
  <r>
    <s v="M0388"/>
    <s v="Frozen II 388"/>
    <s v="Horror"/>
    <s v="English"/>
    <s v="Disney+"/>
    <d v="1905-07-08T00:00:00"/>
    <s v="JULY"/>
    <n v="155"/>
    <n v="8.6999999999999993"/>
    <n v="68879"/>
    <n v="126.96"/>
    <s v="Vetrimaaran"/>
    <s v="CHRISTIAN BALE"/>
    <s v="15"/>
    <s v="Animation"/>
  </r>
  <r>
    <s v="M0250"/>
    <s v="The Notebook 250"/>
    <s v="Romance"/>
    <s v="English"/>
    <s v="Amazon Prime"/>
    <d v="1905-07-17T00:00:00"/>
    <s v="JANUARY"/>
    <n v="145"/>
    <n v="6.1"/>
    <n v="139541"/>
    <n v="784.73"/>
    <s v="Jeethu Joseph"/>
    <s v="ALIA BHATT"/>
    <s v="R"/>
    <s v="Drama"/>
  </r>
  <r>
    <s v="M0393"/>
    <s v="A Quiet Place 393"/>
    <s v="Crime"/>
    <s v="English"/>
    <s v="Paramount+"/>
    <d v="1905-07-07T00:00:00"/>
    <s v="NOVEMBER"/>
    <n v="102"/>
    <n v="6.2"/>
    <n v="936190"/>
    <n v="1473.33"/>
    <s v="Alfonso Cuarón"/>
    <s v="SURIYA"/>
    <s v="R"/>
    <s v="Action"/>
  </r>
  <r>
    <s v="M0592"/>
    <s v="Get Out 592"/>
    <s v="Drama"/>
    <s v="English"/>
    <s v="Netflix"/>
    <d v="1905-07-08T00:00:00"/>
    <s v="JUNE"/>
    <n v="157"/>
    <n v="7.1"/>
    <n v="474269"/>
    <n v="455.92"/>
    <s v="Rajkumar Hirani"/>
    <s v="RYAN GOSLING"/>
    <s v="U"/>
    <s v="Comedy"/>
  </r>
  <r>
    <s v="M0073"/>
    <s v="Bahubali 2 73"/>
    <s v="Mystery"/>
    <s v="Telugu"/>
    <s v="Netflix"/>
    <d v="1905-07-10T00:00:00"/>
    <s v="OCTOBER"/>
    <n v="117"/>
    <n v="6.7"/>
    <n v="692001"/>
    <n v="293.25"/>
    <s v="Lijo Jose Pellissery"/>
    <s v="LEONARDO DICAPRIO"/>
    <s v="R"/>
    <s v="Drama"/>
  </r>
  <r>
    <s v="M0087"/>
    <s v="Zootopia 87"/>
    <s v="Drama"/>
    <s v="English"/>
    <s v="Hulu"/>
    <d v="1905-07-09T00:00:00"/>
    <s v="SEPTEMBER"/>
    <n v="92"/>
    <n v="6.4"/>
    <n v="346458"/>
    <n v="597.37"/>
    <s v="Zoya Akhtar"/>
    <s v="LEONARDO DICAPRIO"/>
    <s v="15"/>
    <s v="Horror"/>
  </r>
  <r>
    <s v="M0189"/>
    <s v="Top Gun: Maverick 189"/>
    <s v="Comedy"/>
    <s v="English"/>
    <s v="Paramount+"/>
    <d v="1905-07-09T00:00:00"/>
    <s v="MARCH"/>
    <n v="125"/>
    <n v="7.8"/>
    <n v="908365"/>
    <n v="78.680000000000007"/>
    <s v="Jeethu Joseph"/>
    <s v="DHANUSH"/>
    <s v="15"/>
    <s v="Romance"/>
  </r>
  <r>
    <s v="M0178"/>
    <s v="Ustad Hotel 178"/>
    <s v="Thriller"/>
    <s v="Malayalam"/>
    <s v="Netflix"/>
    <d v="1905-07-16T00:00:00"/>
    <s v="APRIL"/>
    <n v="126"/>
    <n v="5.8"/>
    <n v="395122"/>
    <n v="433.73"/>
    <s v="Rajkumar Hirani"/>
    <s v="PRABHAS"/>
    <s v="15"/>
    <s v="Crime"/>
  </r>
  <r>
    <s v="M0314"/>
    <s v="Vikram 314"/>
    <s v="Action"/>
    <s v="Tamil"/>
    <s v="Disney+"/>
    <d v="1905-07-07T00:00:00"/>
    <s v="JULY"/>
    <n v="168"/>
    <n v="8.5"/>
    <n v="216197"/>
    <n v="503.31"/>
    <s v="Rajkumar Hirani"/>
    <s v="VIJAY"/>
    <s v="18"/>
    <s v="Drama"/>
  </r>
  <r>
    <s v="M0191"/>
    <s v="The Conjuring 191"/>
    <s v="Horror"/>
    <s v="English"/>
    <s v="HBO Max"/>
    <d v="1905-07-14T00:00:00"/>
    <s v="SEPTEMBER"/>
    <n v="150"/>
    <n v="7.5"/>
    <n v="813564"/>
    <n v="1016.84"/>
    <s v="Alfonso Cuarón"/>
    <s v="SHAH RUKH KHAN"/>
    <s v="U/A"/>
    <s v="Mystery"/>
  </r>
  <r>
    <s v="M0107"/>
    <s v="RRR 107"/>
    <s v="Mystery"/>
    <s v="Telugu"/>
    <s v="Netflix"/>
    <d v="1905-07-17T00:00:00"/>
    <s v="AUGUST"/>
    <n v="132"/>
    <n v="6.9"/>
    <n v="887782"/>
    <n v="212.51"/>
    <s v="Alfonso Cuarón"/>
    <s v="FAHADH FAASIL"/>
    <s v="PG-13"/>
    <s v="Drama"/>
  </r>
  <r>
    <s v="M0246"/>
    <s v="The Menu 246"/>
    <s v="Thriller"/>
    <s v="English"/>
    <s v="HBO Max"/>
    <d v="1905-07-08T00:00:00"/>
    <s v="APRIL"/>
    <n v="141"/>
    <n v="8.1"/>
    <n v="222459"/>
    <n v="806.26"/>
    <s v="Alfonso Cuarón"/>
    <s v="CHRISTIAN BALE"/>
    <s v="R"/>
    <s v="Comedy"/>
  </r>
  <r>
    <s v="M0458"/>
    <s v="12th Fail 458"/>
    <s v="Drama"/>
    <s v="Hindi"/>
    <s v="Disney+"/>
    <d v="1905-07-14T00:00:00"/>
    <s v="JUNE"/>
    <n v="104"/>
    <n v="6.1"/>
    <n v="5302"/>
    <n v="1081.8"/>
    <s v="Martin Scorsese"/>
    <s v="DULQUER SALMAAN"/>
    <s v="PG"/>
    <s v="Thriller"/>
  </r>
  <r>
    <s v="M0093"/>
    <s v="A Quiet Place 93"/>
    <s v="Horror"/>
    <s v="English"/>
    <s v="Disney+"/>
    <d v="1905-07-11T00:00:00"/>
    <s v="MAY"/>
    <n v="126"/>
    <n v="7.8"/>
    <n v="452374"/>
    <n v="152.54"/>
    <s v="Greta Gerwig"/>
    <s v="RYAN GOSLING"/>
    <s v="U"/>
    <s v="Action"/>
  </r>
  <r>
    <s v="M0253"/>
    <s v="Premalu 253"/>
    <s v="Romance"/>
    <s v="Malayalam"/>
    <s v="Disney+"/>
    <d v="1905-07-16T00:00:00"/>
    <s v="JULY"/>
    <n v="169"/>
    <n v="7"/>
    <n v="27491"/>
    <n v="1231.26"/>
    <s v="Lijo Jose Pellissery"/>
    <s v="SURIYA"/>
    <s v="PG-13"/>
    <s v="Horror"/>
  </r>
  <r>
    <s v="M0348"/>
    <s v="Shutter Island 348"/>
    <s v="Mystery"/>
    <s v="English"/>
    <s v="Paramount+"/>
    <d v="1905-07-08T00:00:00"/>
    <s v="APRIL"/>
    <n v="105"/>
    <n v="7.3"/>
    <n v="525003"/>
    <n v="121.99"/>
    <s v="Christopher Nolan"/>
    <s v="NANI"/>
    <s v="18"/>
    <s v="Mystery"/>
  </r>
  <r>
    <s v="M0405"/>
    <s v="Dune: Part Two 405"/>
    <s v="Sci-Fi"/>
    <s v="English"/>
    <s v="HBO Max"/>
    <d v="1905-07-13T00:00:00"/>
    <s v="OCTOBER"/>
    <n v="137"/>
    <n v="7.2"/>
    <n v="167544"/>
    <n v="821.08"/>
    <s v="Jeethu Joseph"/>
    <s v="SURIYA"/>
    <s v="15"/>
    <s v="Thriller"/>
  </r>
  <r>
    <s v="M0202"/>
    <s v="Jawan 202"/>
    <s v="Action"/>
    <s v="Hindi"/>
    <s v="Disney+"/>
    <d v="1905-07-08T00:00:00"/>
    <s v="SEPTEMBER"/>
    <n v="157"/>
    <n v="7.4"/>
    <n v="9686"/>
    <n v="291.32"/>
    <s v="Bong Joon Ho"/>
    <s v="PRABHAS"/>
    <s v="PG-13"/>
    <s v="Drama"/>
  </r>
  <r>
    <s v="M0571"/>
    <s v="3 Idiots 571"/>
    <s v="Comedy"/>
    <s v="Hindi"/>
    <s v="Netflix"/>
    <d v="1905-07-13T00:00:00"/>
    <s v="JUNE"/>
    <n v="173"/>
    <n v="7.6"/>
    <n v="842163"/>
    <n v="314.7"/>
    <s v="Rajkumar Hirani"/>
    <s v="MAMMOOTTY"/>
    <s v="15"/>
    <s v="Horror"/>
  </r>
  <r>
    <s v="M0158"/>
    <s v="12th Fail 158"/>
    <s v="Drama"/>
    <s v="Hindi"/>
    <s v="Disney+"/>
    <d v="1905-07-11T00:00:00"/>
    <s v="JULY"/>
    <n v="108"/>
    <n v="6.7"/>
    <n v="791862"/>
    <n v="326.95"/>
    <s v="S.S. Rajamouli"/>
    <s v="VIJAY"/>
    <s v="U"/>
    <s v="Romance"/>
  </r>
  <r>
    <s v="M0317"/>
    <s v="Interstellar 317"/>
    <s v="Sci-Fi"/>
    <s v="English"/>
    <s v="SonyLIV"/>
    <d v="1905-07-17T00:00:00"/>
    <s v="DECEMBER"/>
    <n v="91"/>
    <n v="8.1999999999999993"/>
    <n v="6347"/>
    <n v="1272.51"/>
    <s v="Lijo Jose Pellissery"/>
    <s v="SURIYA"/>
    <s v="U"/>
    <s v="Mystery"/>
  </r>
  <r>
    <s v="M0196"/>
    <s v="The Menu 196"/>
    <s v="Thriller"/>
    <s v="English"/>
    <s v="Peacock"/>
    <d v="1905-07-15T00:00:00"/>
    <s v="DECEMBER"/>
    <n v="120"/>
    <n v="6.1"/>
    <n v="729249"/>
    <n v="766.52"/>
    <s v="Vetrimaaran"/>
    <s v="TOM HOLLAND"/>
    <s v="18"/>
    <s v="Sci-Fi"/>
  </r>
  <r>
    <s v="M0283"/>
    <s v="Spider-Man: No Way Home 283"/>
    <s v="Action"/>
    <s v="English"/>
    <s v="Netflix"/>
    <d v="1905-07-15T00:00:00"/>
    <s v="JANUARY"/>
    <n v="130"/>
    <n v="7.3"/>
    <n v="911001"/>
    <n v="773.84"/>
    <s v="Bong Joon Ho"/>
    <s v="RYAN GOSLING"/>
    <s v="U/A"/>
    <s v="Action"/>
  </r>
  <r>
    <s v="M0281"/>
    <s v="The Shawshank Redemption 281"/>
    <s v="Drama"/>
    <s v="English"/>
    <s v="Disney+"/>
    <d v="1905-07-15T00:00:00"/>
    <s v="SEPTEMBER"/>
    <n v="173"/>
    <n v="6.4"/>
    <n v="798530"/>
    <n v="359.05"/>
    <s v="Martin Scorsese"/>
    <s v="RYAN GOSLING"/>
    <s v="R"/>
    <s v="Comedy"/>
  </r>
  <r>
    <s v="M0141"/>
    <s v="The Conjuring 141"/>
    <s v="Thriller"/>
    <s v="Telugu"/>
    <s v="HBO Max"/>
    <d v="1905-07-16T00:00:00"/>
    <s v="DECEMBER"/>
    <n v="160"/>
    <n v="7.2"/>
    <n v="949954"/>
    <n v="678.42"/>
    <s v="Rajkumar Hirani"/>
    <s v="SURIYA"/>
    <s v="18"/>
    <s v="Drama"/>
  </r>
  <r>
    <s v="M0347"/>
    <s v="Gone Girl 347"/>
    <s v="Mystery"/>
    <s v="English"/>
    <s v="Netflix"/>
    <d v="1905-07-08T00:00:00"/>
    <s v="APRIL"/>
    <n v="166"/>
    <n v="7.1"/>
    <n v="833778"/>
    <n v="112.87"/>
    <s v="Christopher Nolan"/>
    <s v="LEONARDO DICAPRIO"/>
    <s v="R"/>
    <s v="Sci-Fi"/>
  </r>
  <r>
    <s v="M0411"/>
    <s v="Oppenheimer 411"/>
    <s v="Drama"/>
    <s v="English"/>
    <s v="Peacock"/>
    <d v="1905-07-09T00:00:00"/>
    <s v="APRIL"/>
    <n v="156"/>
    <n v="5.9"/>
    <n v="881564"/>
    <n v="288.22000000000003"/>
    <s v="Lokesh Kanagaraj"/>
    <s v="TOM HOLLAND"/>
    <s v="18"/>
    <s v="Thriller"/>
  </r>
  <r>
    <s v="M0222"/>
    <s v="Dangal 222"/>
    <s v="Drama"/>
    <s v="Hindi"/>
    <s v="Hulu"/>
    <d v="1905-07-08T00:00:00"/>
    <s v="JANUARY"/>
    <n v="144"/>
    <n v="7.1"/>
    <n v="53897"/>
    <n v="202.8"/>
    <s v="Mani Ratnam"/>
    <s v="TOM HOLLAND"/>
    <s v="18"/>
    <s v="Action"/>
  </r>
  <r>
    <s v="M0229"/>
    <s v="The Dark Knight 229"/>
    <s v="Action"/>
    <s v="English"/>
    <s v="Amazon Prime"/>
    <d v="1905-07-15T00:00:00"/>
    <s v="JUNE"/>
    <n v="94"/>
    <n v="5.9"/>
    <n v="415612"/>
    <n v="450.09"/>
    <s v="Lokesh Kanagaraj"/>
    <s v="FAHADH FAASIL"/>
    <s v="R"/>
    <s v="Drama"/>
  </r>
  <r>
    <s v="M0372"/>
    <s v="Dangal 372"/>
    <s v="Drama"/>
    <s v="Hindi"/>
    <s v="Amazon Prime"/>
    <d v="1905-07-17T00:00:00"/>
    <s v="MAY"/>
    <n v="115"/>
    <n v="7.2"/>
    <n v="526400"/>
    <n v="85.59"/>
    <s v="Lijo Jose Pellissery"/>
    <s v="DHANUSH"/>
    <s v="15"/>
    <s v="Thriller"/>
  </r>
  <r>
    <s v="M0177"/>
    <s v="Bangalore Days 177"/>
    <s v="Horror"/>
    <s v="Korean"/>
    <s v="Hulu"/>
    <d v="1905-07-14T00:00:00"/>
    <s v="JUNE"/>
    <n v="140"/>
    <n v="7.8"/>
    <n v="624066"/>
    <n v="105.44"/>
    <s v="Mani Ratnam"/>
    <s v="RAJINIKANTH"/>
    <s v="PG-13"/>
    <s v="Mystery"/>
  </r>
  <r>
    <s v="M0590"/>
    <s v="John Wick 4 590"/>
    <s v="Action"/>
    <s v="English"/>
    <s v="Lionsgate+"/>
    <d v="1905-07-09T00:00:00"/>
    <s v="MAY"/>
    <n v="179"/>
    <n v="6.6"/>
    <n v="10951"/>
    <n v="656.74"/>
    <s v="Vetrimaaran"/>
    <s v="RANBIR KAPOOR"/>
    <s v="PG-13"/>
    <s v="Drama"/>
  </r>
  <r>
    <s v="M0474"/>
    <s v="KGF Chapter 2 474"/>
    <s v="Action"/>
    <s v="Kannada"/>
    <s v="Amazon Prime"/>
    <d v="1905-07-07T00:00:00"/>
    <s v="FEBRUARY"/>
    <n v="103"/>
    <n v="7.6"/>
    <n v="887750"/>
    <n v="497.28"/>
    <s v="Vetrimaaran"/>
    <s v="FAHADH FAASIL"/>
    <s v="R"/>
    <s v="Drama"/>
  </r>
  <r>
    <s v="M0457"/>
    <s v="RRR 457"/>
    <s v="Mystery"/>
    <s v="Telugu"/>
    <s v="Netflix"/>
    <d v="1905-07-09T00:00:00"/>
    <s v="APRIL"/>
    <n v="156"/>
    <n v="6.9"/>
    <n v="361349"/>
    <n v="147.19999999999999"/>
    <s v="Greta Gerwig"/>
    <s v="DULQUER SALMAAN"/>
    <s v="U"/>
    <s v="Action"/>
  </r>
  <r>
    <s v="M0136"/>
    <s v="Inside Out 136"/>
    <s v="Animation"/>
    <s v="Japanese"/>
    <s v="Disney+"/>
    <d v="1905-07-07T00:00:00"/>
    <s v="OCTOBER"/>
    <n v="146"/>
    <n v="8.5"/>
    <n v="179594"/>
    <n v="743.47"/>
    <s v="Lokesh Kanagaraj"/>
    <s v="RANBIR KAPOOR"/>
    <s v="15"/>
    <s v="Drama"/>
  </r>
  <r>
    <s v="M0302"/>
    <s v="Jawan 302"/>
    <s v="Action"/>
    <s v="Hindi"/>
    <s v="Netflix"/>
    <d v="1905-07-10T00:00:00"/>
    <s v="OCTOBER"/>
    <n v="178"/>
    <n v="6.2"/>
    <n v="899601"/>
    <n v="290.26"/>
    <s v="Anurag Kashyap"/>
    <s v="NANI"/>
    <s v="U"/>
    <s v="Horror"/>
  </r>
  <r>
    <s v="M0401"/>
    <s v="Leo 401"/>
    <s v="Action"/>
    <s v="French"/>
    <s v="Netflix"/>
    <d v="1905-07-09T00:00:00"/>
    <s v="JANUARY"/>
    <n v="145"/>
    <n v="7.4"/>
    <n v="403033"/>
    <n v="56.1"/>
    <s v="Bong Joon Ho"/>
    <s v="SHAH RUKH KHAN"/>
    <s v="PG"/>
    <s v="Action"/>
  </r>
  <r>
    <s v="M0252"/>
    <s v="Jawan 252"/>
    <s v="Action"/>
    <s v="Hindi"/>
    <s v="Netflix"/>
    <d v="1905-07-08T00:00:00"/>
    <s v="AUGUST"/>
    <n v="93"/>
    <n v="8"/>
    <n v="353418"/>
    <n v="1258.28"/>
    <s v="S.S. Rajamouli"/>
    <s v="DULQUER SALMAAN"/>
    <s v="U/A"/>
    <s v="Action"/>
  </r>
  <r>
    <s v="M0386"/>
    <s v="Inside Out 386"/>
    <s v="Animation"/>
    <s v="English"/>
    <s v="Apple TV+"/>
    <d v="1905-07-16T00:00:00"/>
    <s v="NOVEMBER"/>
    <n v="156"/>
    <n v="7.2"/>
    <n v="860759"/>
    <n v="233.06"/>
    <s v="Christopher Nolan"/>
    <s v="NANI"/>
    <s v="U/A"/>
    <s v="Mystery"/>
  </r>
  <r>
    <s v="M0336"/>
    <s v="Inside Out 336"/>
    <s v="Animation"/>
    <s v="English"/>
    <s v="Amazon Prime"/>
    <d v="1905-07-08T00:00:00"/>
    <s v="MAY"/>
    <n v="164"/>
    <n v="6.8"/>
    <n v="163616"/>
    <n v="161.32"/>
    <s v="S.S. Rajamouli"/>
    <s v="RANBIR KAPOOR"/>
    <s v="18"/>
    <s v="Animation"/>
  </r>
  <r>
    <s v="M0426"/>
    <s v="Jigarthanda DoubleX 426"/>
    <s v="Action"/>
    <s v="Tamil"/>
    <s v="Apple TV+"/>
    <d v="1905-07-09T00:00:00"/>
    <s v="AUGUST"/>
    <n v="93"/>
    <n v="7.9"/>
    <n v="516407"/>
    <n v="525.17999999999995"/>
    <s v="Lokesh Kanagaraj"/>
    <s v="ROBERT DOWNEY JR."/>
    <s v="U/A"/>
    <s v="Action"/>
  </r>
  <r>
    <s v="M0519"/>
    <s v="Parasite 519"/>
    <s v="Sci-Fi"/>
    <s v="Korean"/>
    <s v="Disney+"/>
    <d v="1905-07-13T00:00:00"/>
    <s v="JULY"/>
    <n v="121"/>
    <n v="6.1"/>
    <n v="162421"/>
    <n v="130.47"/>
    <s v="Bong Joon Ho"/>
    <s v="DULQUER SALMAAN"/>
    <s v="U/A"/>
    <s v="Action"/>
  </r>
  <r>
    <s v="M0580"/>
    <s v="Forrest Gump 580"/>
    <s v="Drama"/>
    <s v="English"/>
    <s v="Amazon Prime"/>
    <d v="1905-07-12T00:00:00"/>
    <s v="APRIL"/>
    <n v="124"/>
    <n v="8"/>
    <n v="479164"/>
    <n v="383.12"/>
    <s v="Greta Gerwig"/>
    <s v="SURIYA"/>
    <s v="U"/>
    <s v="Action"/>
  </r>
  <r>
    <s v="M0263"/>
    <s v="Pathaan 263"/>
    <s v="Action"/>
    <s v="Hindi"/>
    <s v="Amazon Prime"/>
    <d v="1905-07-07T00:00:00"/>
    <s v="JANUARY"/>
    <n v="173"/>
    <n v="7.8"/>
    <n v="130398"/>
    <n v="547.95000000000005"/>
    <s v="Jeethu Joseph"/>
    <s v="TOM HOLLAND"/>
    <s v="PG-13"/>
    <s v="Animation"/>
  </r>
  <r>
    <s v="M0381"/>
    <s v="The Shawshank Redemption 381"/>
    <s v="Thriller"/>
    <s v="English"/>
    <s v="HBO Max"/>
    <d v="1905-07-16T00:00:00"/>
    <s v="JANUARY"/>
    <n v="173"/>
    <n v="6.8"/>
    <n v="871006"/>
    <n v="228.09"/>
    <s v="Lokesh Kanagaraj"/>
    <s v="RYAN GOSLING"/>
    <s v="PG-13"/>
    <s v="Animation"/>
  </r>
  <r>
    <s v="M0563"/>
    <s v="Pathaan 563"/>
    <s v="Crime"/>
    <s v="Hindi"/>
    <s v="Amazon Prime"/>
    <d v="1905-07-17T00:00:00"/>
    <s v="AUGUST"/>
    <n v="171"/>
    <n v="8.6"/>
    <n v="395459"/>
    <n v="662.73"/>
    <s v="Zoya Akhtar"/>
    <s v="TOM HOLLAND"/>
    <s v="PG-13"/>
    <s v="Action"/>
  </r>
  <r>
    <s v="M0025"/>
    <s v="Sita Ramam"/>
    <s v="Romance"/>
    <s v="Telugu"/>
    <s v="Amazon Prime"/>
    <d v="1905-07-13T00:00:00"/>
    <s v="MARCH"/>
    <n v="90"/>
    <n v="6.6"/>
    <n v="835594"/>
    <n v="259.45999999999998"/>
    <s v="Jeethu Joseph"/>
    <s v="RANBIR KAPOOR"/>
    <s v="PG"/>
    <s v="Sci-Fi"/>
  </r>
  <r>
    <s v="M0230"/>
    <s v="Forrest Gump 230"/>
    <s v="Drama"/>
    <s v="English"/>
    <s v="Netflix"/>
    <d v="1905-07-15T00:00:00"/>
    <s v="DECEMBER"/>
    <n v="163"/>
    <n v="8.5"/>
    <n v="826020"/>
    <n v="475.89"/>
    <s v="Anurag Kashyap"/>
    <s v="DULQUER SALMAAN"/>
    <s v="U/A"/>
    <s v="Drama"/>
  </r>
  <r>
    <s v="M0313"/>
    <s v="Pathaan 313"/>
    <s v="Action"/>
    <s v="Hindi"/>
    <s v="SonyLIV"/>
    <d v="1905-07-08T00:00:00"/>
    <s v="JULY"/>
    <n v="102"/>
    <n v="7.2"/>
    <n v="901582"/>
    <n v="109.59"/>
    <s v="S.S. Rajamouli"/>
    <s v="PRABHAS"/>
    <s v="18"/>
    <s v="Drama"/>
  </r>
  <r>
    <s v="M0164"/>
    <s v="Vikram 164"/>
    <s v="Action"/>
    <s v="Tamil"/>
    <s v="Disney+"/>
    <d v="1905-07-15T00:00:00"/>
    <s v="AUGUST"/>
    <n v="108"/>
    <n v="8.1999999999999993"/>
    <n v="933366"/>
    <n v="695.91"/>
    <s v="Greta Gerwig"/>
    <s v="LEONARDO DICAPRIO"/>
    <s v="R"/>
    <s v="Action"/>
  </r>
  <r>
    <s v="M0566"/>
    <s v="Premam 566"/>
    <s v="Crime"/>
    <s v="Malayalam"/>
    <s v="Amazon Prime"/>
    <d v="1905-07-08T00:00:00"/>
    <s v="OCTOBER"/>
    <n v="101"/>
    <n v="7.1"/>
    <n v="783009"/>
    <n v="46.04"/>
    <s v="Lijo Jose Pellissery"/>
    <s v="CHRISTIAN BALE"/>
    <s v="U/A"/>
    <s v="Thriller"/>
  </r>
  <r>
    <s v="M0183"/>
    <s v="Spider-Man: No Way Home 183"/>
    <s v="Animation"/>
    <s v="English"/>
    <s v="Netflix"/>
    <d v="1905-07-08T00:00:00"/>
    <s v="FEBRUARY"/>
    <n v="178"/>
    <n v="7.6"/>
    <n v="478250"/>
    <n v="843.27"/>
    <s v="Mani Ratnam"/>
    <s v="MAMMOOTTY"/>
    <s v="18"/>
    <s v="Crime"/>
  </r>
  <r>
    <s v="M0339"/>
    <s v="Top Gun: Maverick 339"/>
    <s v="Action"/>
    <s v="English"/>
    <s v="Paramount+"/>
    <d v="1905-07-09T00:00:00"/>
    <s v="MAY"/>
    <n v="86"/>
    <n v="8.6"/>
    <n v="889936"/>
    <n v="97.42"/>
    <s v="Bong Joon Ho"/>
    <s v="ROBERT DOWNEY JR."/>
    <s v="PG"/>
    <s v="Romance"/>
  </r>
  <r>
    <s v="M0033"/>
    <s v="Spider-Man: No Way Home"/>
    <s v="Action"/>
    <s v="English"/>
    <s v="Netflix"/>
    <d v="1905-07-12T00:00:00"/>
    <s v="FEBRUARY"/>
    <n v="189"/>
    <n v="7.7"/>
    <n v="326298"/>
    <n v="123.16"/>
    <s v="Christopher Nolan"/>
    <s v="RANBIR KAPOOR"/>
    <s v="15"/>
    <s v="Drama"/>
  </r>
  <r>
    <s v="M0528"/>
    <s v="Ustad Hotel 528"/>
    <s v="Drama"/>
    <s v="Malayalam"/>
    <s v="Netflix"/>
    <d v="1905-07-13T00:00:00"/>
    <s v="JANUARY"/>
    <n v="127"/>
    <n v="7.2"/>
    <n v="9056"/>
    <n v="177.92"/>
    <s v="Anurag Kashyap"/>
    <s v="ROBERT DOWNEY JR."/>
    <s v="15"/>
    <s v="Action"/>
  </r>
  <r>
    <s v="M0438"/>
    <s v="Frozen II 438"/>
    <s v="Crime"/>
    <s v="Telugu"/>
    <s v="Disney+"/>
    <d v="1905-07-07T00:00:00"/>
    <s v="SEPTEMBER"/>
    <n v="115"/>
    <n v="8"/>
    <n v="202024"/>
    <n v="135.53"/>
    <s v="Denis Villeneuve"/>
    <s v="NANI"/>
    <s v="15"/>
    <s v="Action"/>
  </r>
  <r>
    <s v="M0466"/>
    <s v="Premam 466"/>
    <s v="Romance"/>
    <s v="Malayalam"/>
    <s v="Paramount+"/>
    <d v="1905-07-08T00:00:00"/>
    <s v="OCTOBER"/>
    <n v="180"/>
    <n v="8.1999999999999993"/>
    <n v="380132"/>
    <n v="670.5"/>
    <s v="Martin Scorsese"/>
    <s v="ROBERT DOWNEY JR."/>
    <s v="PG"/>
    <s v="Crime"/>
  </r>
  <r>
    <s v="M0077"/>
    <s v="Bangalore Days 77"/>
    <s v="Romance"/>
    <s v="Kannada"/>
    <s v="HBO Max"/>
    <d v="1905-07-17T00:00:00"/>
    <s v="FEBRUARY"/>
    <n v="166"/>
    <n v="7.9"/>
    <n v="317669"/>
    <n v="257.83999999999997"/>
    <s v="Christopher Nolan"/>
    <s v="DULQUER SALMAAN"/>
    <s v="U"/>
    <s v="Animation"/>
  </r>
  <r>
    <s v="M0020"/>
    <s v="Train to Busan"/>
    <s v="Horror"/>
    <s v="Korean"/>
    <s v="Netflix"/>
    <d v="1905-07-11T00:00:00"/>
    <s v="APRIL"/>
    <n v="170"/>
    <n v="7.8"/>
    <n v="751781"/>
    <n v="206.16"/>
    <s v="Martin Scorsese"/>
    <s v="DULQUER SALMAAN"/>
    <s v="PG"/>
    <s v="Action"/>
  </r>
  <r>
    <s v="M0496"/>
    <s v="The Menu 496"/>
    <s v="Fantasy"/>
    <s v="English"/>
    <s v="HBO Max"/>
    <d v="1905-07-08T00:00:00"/>
    <s v="JUNE"/>
    <n v="162"/>
    <n v="6.9"/>
    <n v="313253"/>
    <n v="1483.36"/>
    <s v="Lijo Jose Pellissery"/>
    <s v="NANI"/>
    <s v="PG-13"/>
    <s v="Action"/>
  </r>
  <r>
    <s v="M0586"/>
    <s v="Inside Out 586"/>
    <s v="Animation"/>
    <s v="English"/>
    <s v="Disney+"/>
    <d v="1905-07-07T00:00:00"/>
    <s v="MARCH"/>
    <n v="141"/>
    <n v="7.1"/>
    <n v="245947"/>
    <n v="88.8"/>
    <s v="S.S. Rajamouli"/>
    <s v="CHRISTIAN BALE"/>
    <s v="15"/>
    <s v="Drama"/>
  </r>
  <r>
    <s v="M0248"/>
    <s v="Shutter Island 248"/>
    <s v="Mystery"/>
    <s v="Tamil"/>
    <s v="Paramount+"/>
    <d v="1905-07-14T00:00:00"/>
    <s v="SEPTEMBER"/>
    <n v="135"/>
    <n v="6.3"/>
    <n v="667075"/>
    <n v="1238.6199999999999"/>
    <s v="Vetrimaaran"/>
    <s v="ROBERT DOWNEY JR."/>
    <s v="PG-13"/>
    <s v="Crime"/>
  </r>
  <r>
    <s v="M0521"/>
    <s v="3 Idiots 521"/>
    <s v="Comedy"/>
    <s v="Hindi"/>
    <s v="Netflix"/>
    <d v="1905-07-15T00:00:00"/>
    <s v="JUNE"/>
    <n v="144"/>
    <n v="6.7"/>
    <n v="749101"/>
    <n v="166.64"/>
    <s v="S.S. Rajamouli"/>
    <s v="SHAH RUKH KHAN"/>
    <s v="U"/>
    <s v="Romance"/>
  </r>
  <r>
    <s v="M0240"/>
    <s v="John Wick 4 240"/>
    <s v="Adventure"/>
    <s v="English"/>
    <s v="Lionsgate+"/>
    <d v="1905-07-14T00:00:00"/>
    <s v="OCTOBER"/>
    <n v="115"/>
    <n v="8.1"/>
    <n v="500197"/>
    <n v="262.25"/>
    <s v="Greta Gerwig"/>
    <s v="CHRISTIAN BALE"/>
    <s v="18"/>
    <s v="Romance"/>
  </r>
  <r>
    <s v="M0315"/>
    <s v="Kumbalangi Nights 315"/>
    <s v="Drama"/>
    <s v="Malayalam"/>
    <s v="Netflix"/>
    <d v="1905-07-16T00:00:00"/>
    <s v="JUNE"/>
    <n v="163"/>
    <n v="7"/>
    <n v="792445"/>
    <n v="236.29"/>
    <s v="Lokesh Kanagaraj"/>
    <s v="NANI"/>
    <s v="15"/>
    <s v="Horror"/>
  </r>
  <r>
    <s v="M0575"/>
    <s v="Sita Ramam 575"/>
    <s v="Comedy"/>
    <s v="Telugu"/>
    <s v="Amazon Prime"/>
    <d v="1905-07-12T00:00:00"/>
    <s v="MAY"/>
    <n v="132"/>
    <n v="8.1"/>
    <n v="690424"/>
    <n v="201.55"/>
    <s v="Anurag Kashyap"/>
    <s v="NANI"/>
    <s v="U/A"/>
    <s v="Fantasy"/>
  </r>
  <r>
    <s v="M0394"/>
    <s v="Knives Out 394"/>
    <s v="Mystery"/>
    <s v="English"/>
    <s v="Netflix"/>
    <d v="1905-07-15T00:00:00"/>
    <s v="SEPTEMBER"/>
    <n v="87"/>
    <n v="7.3"/>
    <n v="219179"/>
    <n v="438.84"/>
    <s v="Rajkumar Hirani"/>
    <s v="VIJAY"/>
    <s v="R"/>
    <s v="Animation"/>
  </r>
  <r>
    <s v="M0096"/>
    <s v="The Menu 96"/>
    <s v="Drama"/>
    <s v="English"/>
    <s v="HBO Max"/>
    <d v="1905-07-15T00:00:00"/>
    <s v="APRIL"/>
    <n v="184"/>
    <n v="6.7"/>
    <n v="367146"/>
    <n v="643.09"/>
    <s v="Jeethu Joseph"/>
    <s v="MAMMOOTTY"/>
    <s v="PG"/>
    <s v="Mystery"/>
  </r>
  <r>
    <s v="M0518"/>
    <s v="Inception 518"/>
    <s v="Mystery"/>
    <s v="English"/>
    <s v="Apple TV+"/>
    <d v="1905-07-12T00:00:00"/>
    <s v="JANUARY"/>
    <n v="180"/>
    <n v="7.1"/>
    <n v="74959"/>
    <n v="665.78"/>
    <s v="Anurag Kashyap"/>
    <s v="ALIA BHATT"/>
    <s v="U/A"/>
    <s v="Comedy"/>
  </r>
  <r>
    <s v="M0186"/>
    <s v="Inside Out 186"/>
    <s v="Animation"/>
    <s v="English"/>
    <s v="Amazon Prime"/>
    <d v="1905-07-16T00:00:00"/>
    <s v="FEBRUARY"/>
    <n v="187"/>
    <n v="8.1999999999999993"/>
    <n v="915136"/>
    <n v="439.35"/>
    <s v="Mani Ratnam"/>
    <s v="MAMMOOTTY"/>
    <s v="18"/>
    <s v="Adventure"/>
  </r>
  <r>
    <s v="M0061"/>
    <s v="Oppenheimer 61"/>
    <s v="Crime"/>
    <s v="Spanish"/>
    <s v="Peacock"/>
    <d v="1905-07-10T00:00:00"/>
    <s v="SEPTEMBER"/>
    <n v="131"/>
    <n v="6.6"/>
    <n v="464313"/>
    <n v="412.17"/>
    <s v="Lijo Jose Pellissery"/>
    <s v="DULQUER SALMAAN"/>
    <s v="18"/>
    <s v="Drama"/>
  </r>
  <r>
    <s v="M0019"/>
    <s v="Parasite"/>
    <s v="Thriller"/>
    <s v="Korean"/>
    <s v="Hulu"/>
    <d v="1905-07-09T00:00:00"/>
    <s v="FEBRUARY"/>
    <n v="161"/>
    <n v="8.6"/>
    <n v="424189"/>
    <n v="214.65"/>
    <s v="Denis Villeneuve"/>
    <s v="LEONARDO DICAPRIO"/>
    <s v="U"/>
    <s v="Comedy"/>
  </r>
  <r>
    <s v="M0301"/>
    <s v="Leo 301"/>
    <s v="Adventure"/>
    <s v="Tamil"/>
    <s v="Amazon Prime"/>
    <d v="1905-07-08T00:00:00"/>
    <s v="JANUARY"/>
    <n v="149"/>
    <n v="6.3"/>
    <n v="607821"/>
    <n v="487.06"/>
    <s v="Greta Gerwig"/>
    <s v="ALIA BHATT"/>
    <s v="15"/>
    <s v="Mystery"/>
  </r>
  <r>
    <s v="M0054"/>
    <s v="Drishyam 2 54"/>
    <s v="Thriller"/>
    <s v="Korean"/>
    <s v="Amazon Prime"/>
    <d v="1905-07-16T00:00:00"/>
    <s v="JANUARY"/>
    <n v="163"/>
    <n v="7.2"/>
    <n v="776839"/>
    <n v="157.27000000000001"/>
    <s v="S.S. Rajamouli"/>
    <s v="MOHANLAL"/>
    <s v="U/A"/>
    <s v="Drama"/>
  </r>
  <r>
    <s v="M0333"/>
    <s v="Spider-Man: No Way Home 333"/>
    <s v="Action"/>
    <s v="English"/>
    <s v="Amazon Prime"/>
    <d v="1905-07-13T00:00:00"/>
    <s v="OCTOBER"/>
    <n v="121"/>
    <n v="7.1"/>
    <n v="911234"/>
    <n v="270.58"/>
    <s v="Anurag Kashyap"/>
    <s v="DHANUSH"/>
    <s v="U"/>
    <s v="Mystery"/>
  </r>
  <r>
    <s v="M0534"/>
    <s v="Toy Story 4 534"/>
    <s v="Animation"/>
    <s v="English"/>
    <s v="Disney+"/>
    <d v="1905-07-08T00:00:00"/>
    <s v="SEPTEMBER"/>
    <n v="113"/>
    <n v="6.2"/>
    <n v="510790"/>
    <n v="203.11"/>
    <s v="Alfonso Cuarón"/>
    <s v="LEONARDO DICAPRIO"/>
    <s v="PG"/>
    <s v="Animation"/>
  </r>
  <r>
    <s v="M0098"/>
    <s v="Shutter Island 98"/>
    <s v="Mystery"/>
    <s v="English"/>
    <s v="Paramount+"/>
    <d v="1905-07-11T00:00:00"/>
    <s v="OCTOBER"/>
    <n v="92"/>
    <n v="7.4"/>
    <n v="369838"/>
    <n v="368.09"/>
    <s v="Christopher Nolan"/>
    <s v="LEONARDO DICAPRIO"/>
    <s v="R"/>
    <s v="Crime"/>
  </r>
  <r>
    <s v="M0303"/>
    <s v="Premalu 303"/>
    <s v="Romance"/>
    <s v="Japanese"/>
    <s v="Disney+"/>
    <d v="1905-07-15T00:00:00"/>
    <s v="MARCH"/>
    <n v="142"/>
    <n v="7.7"/>
    <n v="594097"/>
    <n v="1205.69"/>
    <s v="Vetrimaaran"/>
    <s v="LEONARDO DICAPRIO"/>
    <s v="R"/>
    <s v="Thriller"/>
  </r>
  <r>
    <s v="M0340"/>
    <s v="John Wick 4 340"/>
    <s v="Action"/>
    <s v="English"/>
    <s v="Lionsgate+"/>
    <d v="1905-07-10T00:00:00"/>
    <s v="JANUARY"/>
    <n v="155"/>
    <n v="7.2"/>
    <n v="392594"/>
    <n v="327.27"/>
    <s v="Anurag Kashyap"/>
    <s v="RANBIR KAPOOR"/>
    <s v="18"/>
    <s v="Adventure"/>
  </r>
  <r>
    <s v="M0295"/>
    <s v="Glass Onion 295"/>
    <s v="Mystery"/>
    <s v="English"/>
    <s v="Lionsgate+"/>
    <d v="1905-07-11T00:00:00"/>
    <s v="NOVEMBER"/>
    <n v="103"/>
    <n v="6.7"/>
    <n v="834435"/>
    <n v="1115.9000000000001"/>
    <s v="Greta Gerwig"/>
    <s v="RYAN GOSLING"/>
    <s v="U"/>
    <s v="Thriller"/>
  </r>
  <r>
    <s v="M0031"/>
    <s v="The Shawshank Redemption"/>
    <s v="Adventure"/>
    <s v="English"/>
    <s v="HBO Max"/>
    <d v="1905-07-13T00:00:00"/>
    <s v="DECEMBER"/>
    <n v="122"/>
    <n v="6.7"/>
    <n v="698029"/>
    <n v="1255.56"/>
    <s v="Denis Villeneuve"/>
    <s v="DULQUER SALMAAN"/>
    <s v="15"/>
    <s v="Action"/>
  </r>
  <r>
    <s v="M0599"/>
    <s v="La La Land 599"/>
    <s v="Sci-Fi"/>
    <s v="English"/>
    <s v="Netflix"/>
    <d v="1905-07-15T00:00:00"/>
    <s v="JANUARY"/>
    <n v="144"/>
    <n v="8.3000000000000007"/>
    <n v="709241"/>
    <n v="630.27"/>
    <s v="Zoya Akhtar"/>
    <s v="PRABHAS"/>
    <s v="U"/>
    <s v="Animation"/>
  </r>
  <r>
    <s v="M0442"/>
    <s v="Get Out 442"/>
    <s v="Drama"/>
    <s v="English"/>
    <s v="Netflix"/>
    <d v="1905-07-13T00:00:00"/>
    <s v="MARCH"/>
    <n v="112"/>
    <n v="5.6"/>
    <n v="639837"/>
    <n v="389.89"/>
    <s v="Mani Ratnam"/>
    <s v="PRABHAS"/>
    <s v="PG"/>
    <s v="Mystery"/>
  </r>
  <r>
    <s v="M0232"/>
    <s v="Avengers: Endgame 232"/>
    <s v="Action"/>
    <s v="English"/>
    <s v="Disney+"/>
    <d v="1905-07-12T00:00:00"/>
    <s v="MARCH"/>
    <n v="166"/>
    <n v="7.2"/>
    <n v="929125"/>
    <n v="1518.53"/>
    <s v="Mani Ratnam"/>
    <s v="TOM HOLLAND"/>
    <s v="U/A"/>
    <s v="Romance"/>
  </r>
  <r>
    <s v="M0398"/>
    <s v="Shutter Island 398"/>
    <s v="Animation"/>
    <s v="English"/>
    <s v="Amazon Prime"/>
    <d v="1905-07-07T00:00:00"/>
    <s v="MAY"/>
    <n v="90"/>
    <n v="6.3"/>
    <n v="721226"/>
    <n v="1410.2"/>
    <s v="Mani Ratnam"/>
    <s v="LEONARDO DICAPRIO"/>
    <s v="15"/>
    <s v="Action"/>
  </r>
  <r>
    <s v="M0199"/>
    <s v="La La Land 199"/>
    <s v="Romance"/>
    <s v="Tamil"/>
    <s v="Disney+"/>
    <d v="1905-07-17T00:00:00"/>
    <s v="MAY"/>
    <n v="105"/>
    <n v="8.3000000000000007"/>
    <n v="98674"/>
    <n v="407.17"/>
    <s v="Martin Scorsese"/>
    <s v="FAHADH FAASIL"/>
    <s v="PG-13"/>
    <s v="Mystery"/>
  </r>
  <r>
    <s v="M0146"/>
    <s v="The Menu 146"/>
    <s v="Thriller"/>
    <s v="English"/>
    <s v="HBO Max"/>
    <d v="1905-07-09T00:00:00"/>
    <s v="AUGUST"/>
    <n v="126"/>
    <n v="7.1"/>
    <n v="260896"/>
    <n v="12.44"/>
    <s v="Alfonso Cuarón"/>
    <s v="ALIA BHATT"/>
    <s v="PG"/>
    <s v="Adventure"/>
  </r>
  <r>
    <s v="M0387"/>
    <s v="Zootopia 387"/>
    <s v="Crime"/>
    <s v="English"/>
    <s v="Disney+"/>
    <d v="1905-07-12T00:00:00"/>
    <s v="FEBRUARY"/>
    <n v="91"/>
    <n v="9.1"/>
    <n v="169972"/>
    <n v="825.57"/>
    <s v="Mani Ratnam"/>
    <s v="NANI"/>
    <s v="U"/>
    <s v="Sci-Fi"/>
  </r>
  <r>
    <s v="M0557"/>
    <s v="RRR 557"/>
    <s v="Thriller"/>
    <s v="Telugu"/>
    <s v="Netflix"/>
    <d v="1905-07-13T00:00:00"/>
    <s v="FEBRUARY"/>
    <n v="146"/>
    <n v="8.1999999999999993"/>
    <n v="930001"/>
    <n v="29.87"/>
    <s v="Jeethu Joseph"/>
    <s v="RYAN GOSLING"/>
    <s v="PG"/>
    <s v="Drama"/>
  </r>
  <r>
    <s v="M0402"/>
    <s v="Jawan 402"/>
    <s v="Action"/>
    <s v="Hindi"/>
    <s v="Netflix"/>
    <d v="1905-07-17T00:00:00"/>
    <s v="SEPTEMBER"/>
    <n v="95"/>
    <n v="7.1"/>
    <n v="793253"/>
    <n v="882.07"/>
    <s v="Zoya Akhtar"/>
    <s v="SHAH RUKH KHAN"/>
    <s v="PG-13"/>
    <s v="Action"/>
  </r>
  <r>
    <s v="M0475"/>
    <s v="Sita Ramam 475"/>
    <s v="Romance"/>
    <s v="Telugu"/>
    <s v="Amazon Prime"/>
    <d v="1905-07-16T00:00:00"/>
    <s v="JANUARY"/>
    <n v="152"/>
    <n v="7.3"/>
    <n v="296348"/>
    <n v="261"/>
    <s v="Bong Joon Ho"/>
    <s v="MAMMOOTTY"/>
    <s v="15"/>
    <s v="Animation"/>
  </r>
  <r>
    <s v="M0125"/>
    <s v="Sita Ramam 125"/>
    <s v="Action"/>
    <s v="French"/>
    <s v="Amazon Prime"/>
    <d v="1905-07-09T00:00:00"/>
    <s v="MARCH"/>
    <n v="126"/>
    <n v="7.7"/>
    <n v="544903"/>
    <n v="1448.39"/>
    <s v="Jeethu Joseph"/>
    <s v="RYAN GOSLING"/>
    <s v="U/A"/>
    <s v="Romance"/>
  </r>
  <r>
    <s v="M0166"/>
    <s v="Premam 166"/>
    <s v="Romance"/>
    <s v="Malayalam"/>
    <s v="Amazon Prime"/>
    <d v="1905-07-11T00:00:00"/>
    <s v="SEPTEMBER"/>
    <n v="121"/>
    <n v="7.1"/>
    <n v="18775"/>
    <n v="692.94"/>
    <s v="Alfonso Cuarón"/>
    <s v="FAHADH FAASIL"/>
    <s v="U"/>
    <s v="Thriller"/>
  </r>
  <r>
    <s v="M0242"/>
    <s v="Get Out 242"/>
    <s v="Drama"/>
    <s v="English"/>
    <s v="Netflix"/>
    <d v="1905-07-15T00:00:00"/>
    <s v="JUNE"/>
    <n v="120"/>
    <n v="7.4"/>
    <n v="545732"/>
    <n v="769.13"/>
    <s v="Rajkumar Hirani"/>
    <s v="SURIYA"/>
    <s v="U/A"/>
    <s v="Crime"/>
  </r>
  <r>
    <s v="M0400"/>
    <s v="The Notebook 400"/>
    <s v="Romance"/>
    <s v="French"/>
    <s v="Amazon Prime"/>
    <d v="1905-07-10T00:00:00"/>
    <s v="SEPTEMBER"/>
    <n v="129"/>
    <n v="7.6"/>
    <n v="576851"/>
    <n v="141.59"/>
    <s v="Denis Villeneuve"/>
    <s v="RANBIR KAPOOR"/>
    <s v="U"/>
    <s v="Thriller"/>
  </r>
  <r>
    <s v="M0004"/>
    <s v="Drishyam 2"/>
    <s v="Thriller"/>
    <s v="Malayalam"/>
    <s v="Hulu"/>
    <d v="1905-07-16T00:00:00"/>
    <s v="APRIL"/>
    <n v="175"/>
    <n v="7.7"/>
    <n v="73733"/>
    <n v="31.09"/>
    <s v="Rajkumar Hirani"/>
    <s v="RANBIR KAPOOR"/>
    <s v="PG-13"/>
    <s v="Sci-Fi"/>
  </r>
  <r>
    <s v="M0509"/>
    <s v="Manjummel Boys 509"/>
    <s v="Adventure"/>
    <s v="Malayalam"/>
    <s v="Disney+"/>
    <d v="1905-07-16T00:00:00"/>
    <s v="AUGUST"/>
    <n v="116"/>
    <n v="6.4"/>
    <n v="481219"/>
    <n v="91.68"/>
    <s v="Bong Joon Ho"/>
    <s v="DHANUSH"/>
    <s v="18"/>
    <s v="Action"/>
  </r>
  <r>
    <s v="M0149"/>
    <s v="La La Land 149"/>
    <s v="Romance"/>
    <s v="English"/>
    <s v="Amazon Prime"/>
    <d v="1905-07-15T00:00:00"/>
    <s v="AUGUST"/>
    <n v="152"/>
    <n v="7.1"/>
    <n v="592373"/>
    <n v="189.5"/>
    <s v="Denis Villeneuve"/>
    <s v="RYAN GOSLING"/>
    <s v="U/A"/>
    <s v="Romance"/>
  </r>
  <r>
    <s v="M0368"/>
    <s v="Inception 368"/>
    <s v="Thriller"/>
    <s v="English"/>
    <s v="HBO Max"/>
    <d v="1905-07-08T00:00:00"/>
    <s v="MAY"/>
    <n v="142"/>
    <n v="8.3000000000000007"/>
    <n v="494878"/>
    <n v="16.809999999999999"/>
    <s v="Jeethu Joseph"/>
    <s v="RYAN GOSLING"/>
    <s v="R"/>
    <s v="Action"/>
  </r>
  <r>
    <s v="M0328"/>
    <s v="Ustad Hotel 328"/>
    <s v="Drama"/>
    <s v="Malayalam"/>
    <s v="Netflix"/>
    <d v="1905-07-16T00:00:00"/>
    <s v="MAY"/>
    <n v="108"/>
    <n v="8.4"/>
    <n v="576010"/>
    <n v="175.03"/>
    <s v="Vetrimaaran"/>
    <s v="FAHADH FAASIL"/>
    <s v="PG-13"/>
    <s v="Romance"/>
  </r>
  <r>
    <s v="M0493"/>
    <s v="A Quiet Place 493"/>
    <s v="Horror"/>
    <s v="English"/>
    <s v="Peacock"/>
    <d v="1905-07-16T00:00:00"/>
    <s v="DECEMBER"/>
    <n v="165"/>
    <n v="7.7"/>
    <n v="485752"/>
    <n v="69.87"/>
    <s v="Zoya Akhtar"/>
    <s v="SURIYA"/>
    <s v="PG"/>
    <s v="Drama"/>
  </r>
  <r>
    <s v="M0130"/>
    <s v="Forrest Gump 130"/>
    <s v="Horror"/>
    <s v="Kannada"/>
    <s v="Netflix"/>
    <d v="1905-07-09T00:00:00"/>
    <s v="AUGUST"/>
    <n v="150"/>
    <n v="7.8"/>
    <n v="490291"/>
    <n v="360.38"/>
    <s v="Rajkumar Hirani"/>
    <s v="DHANUSH"/>
    <s v="PG-13"/>
    <s v="Romance"/>
  </r>
  <r>
    <s v="M0567"/>
    <s v="Interstellar 567"/>
    <s v="Action"/>
    <s v="French"/>
    <s v="Netflix"/>
    <d v="1905-07-17T00:00:00"/>
    <s v="SEPTEMBER"/>
    <n v="143"/>
    <n v="8"/>
    <n v="706596"/>
    <n v="270.67"/>
    <s v="Anurag Kashyap"/>
    <s v="SURIYA"/>
    <s v="U"/>
    <s v="Thriller"/>
  </r>
  <r>
    <s v="M0491"/>
    <s v="The Conjuring 491"/>
    <s v="Horror"/>
    <s v="English"/>
    <s v="HBO Max"/>
    <d v="1905-07-12T00:00:00"/>
    <s v="FEBRUARY"/>
    <n v="168"/>
    <n v="7.6"/>
    <n v="315277"/>
    <n v="483.11"/>
    <s v="Anurag Kashyap"/>
    <s v="DHANUSH"/>
    <s v="15"/>
    <s v="Adventure"/>
  </r>
  <r>
    <s v="M0290"/>
    <s v="John Wick 4 290"/>
    <s v="Sci-Fi"/>
    <s v="English"/>
    <s v="Netflix"/>
    <d v="1905-07-15T00:00:00"/>
    <s v="JUNE"/>
    <n v="150"/>
    <n v="7.7"/>
    <n v="842614"/>
    <n v="520.57000000000005"/>
    <s v="Lijo Jose Pellissery"/>
    <s v="PRABHAS"/>
    <s v="15"/>
    <s v="Romance"/>
  </r>
  <r>
    <s v="M0582"/>
    <s v="Avengers: Endgame 582"/>
    <s v="Action"/>
    <s v="English"/>
    <s v="Disney+"/>
    <d v="1905-07-11T00:00:00"/>
    <s v="MARCH"/>
    <n v="150"/>
    <n v="7.9"/>
    <n v="613254"/>
    <n v="488.14"/>
    <s v="Alfonso Cuarón"/>
    <s v="ROBERT DOWNEY JR."/>
    <s v="U"/>
    <s v="Thriller"/>
  </r>
  <r>
    <s v="M0486"/>
    <s v="Inside Out 486"/>
    <s v="Animation"/>
    <s v="English"/>
    <s v="Disney+"/>
    <d v="1905-07-12T00:00:00"/>
    <s v="JUNE"/>
    <n v="188"/>
    <n v="6.5"/>
    <n v="778903"/>
    <n v="870.17"/>
    <s v="Anurag Kashyap"/>
    <s v="MAMMOOTTY"/>
    <s v="PG"/>
    <s v="Drama"/>
  </r>
  <r>
    <s v="M0407"/>
    <s v="RRR 407"/>
    <s v="Action"/>
    <s v="Telugu"/>
    <s v="Netflix"/>
    <d v="1905-07-16T00:00:00"/>
    <s v="FEBRUARY"/>
    <n v="172"/>
    <n v="7.1"/>
    <n v="398116"/>
    <n v="426.1"/>
    <s v="Rajkumar Hirani"/>
    <s v="PRABHAS"/>
    <s v="15"/>
    <s v="Horror"/>
  </r>
  <r>
    <s v="M0382"/>
    <s v="Avengers: Endgame 382"/>
    <s v="Action"/>
    <s v="English"/>
    <s v="Disney+"/>
    <d v="1905-07-16T00:00:00"/>
    <s v="DECEMBER"/>
    <n v="110"/>
    <n v="7.2"/>
    <n v="926219"/>
    <n v="284.08999999999997"/>
    <s v="Bong Joon Ho"/>
    <s v="MAMMOOTTY"/>
    <s v="U"/>
    <s v="Horror"/>
  </r>
  <r>
    <s v="M0332"/>
    <s v="Avengers: Endgame 332"/>
    <s v="Thriller"/>
    <s v="English"/>
    <s v="Disney+"/>
    <d v="1905-07-12T00:00:00"/>
    <s v="NOVEMBER"/>
    <n v="162"/>
    <n v="6.4"/>
    <n v="209422"/>
    <n v="747.65"/>
    <s v="Alfonso Cuarón"/>
    <s v="DULQUER SALMAAN"/>
    <s v="PG"/>
    <s v="Action"/>
  </r>
  <r>
    <s v="M0507"/>
    <s v="RRR 507"/>
    <s v="Action"/>
    <s v="Malayalam"/>
    <s v="Amazon Prime"/>
    <d v="1905-07-07T00:00:00"/>
    <s v="DECEMBER"/>
    <n v="152"/>
    <n v="5.7"/>
    <n v="476547"/>
    <n v="851.59"/>
    <s v="Bong Joon Ho"/>
    <s v="PRABHAS"/>
    <s v="R"/>
    <s v="Horror"/>
  </r>
  <r>
    <s v="M0086"/>
    <s v="Inside Out 86"/>
    <s v="Animation"/>
    <s v="English"/>
    <s v="Disney+"/>
    <d v="1905-07-08T00:00:00"/>
    <s v="JUNE"/>
    <n v="139"/>
    <n v="5.8"/>
    <n v="328504"/>
    <n v="552.24"/>
    <s v="Martin Scorsese"/>
    <s v="ROBERT DOWNEY JR."/>
    <s v="U"/>
    <s v="Sci-Fi"/>
  </r>
  <r>
    <s v="M0204"/>
    <s v="Drishyam 2 204"/>
    <s v="Thriller"/>
    <s v="Malayalam"/>
    <s v="Amazon Prime"/>
    <d v="1905-07-07T00:00:00"/>
    <s v="NOVEMBER"/>
    <n v="123"/>
    <n v="8"/>
    <n v="216225"/>
    <n v="549.48"/>
    <s v="S.S. Rajamouli"/>
    <s v="LEONARDO DICAPRIO"/>
    <s v="PG-13"/>
    <s v="Action"/>
  </r>
  <r>
    <s v="M0102"/>
    <s v="Jawan 102"/>
    <s v="Action"/>
    <s v="Hindi"/>
    <s v="Netflix"/>
    <d v="1905-07-12T00:00:00"/>
    <s v="MAY"/>
    <n v="168"/>
    <n v="7.5"/>
    <n v="733209"/>
    <n v="276.57"/>
    <s v="S.S. Rajamouli"/>
    <s v="RYAN GOSLING"/>
    <s v="18"/>
    <s v="Animation"/>
  </r>
  <r>
    <s v="M0175"/>
    <s v="Sita Ramam 175"/>
    <s v="Romance"/>
    <s v="Telugu"/>
    <s v="Lionsgate+"/>
    <d v="1905-07-10T00:00:00"/>
    <s v="OCTOBER"/>
    <n v="151"/>
    <n v="7.6"/>
    <n v="146384"/>
    <n v="178.48"/>
    <s v="Rajkumar Hirani"/>
    <s v="FAHADH FAASIL"/>
    <s v="PG"/>
    <s v="Action"/>
  </r>
  <r>
    <s v="M0057"/>
    <s v="RRR 57"/>
    <s v="Action"/>
    <s v="Telugu"/>
    <s v="Netflix"/>
    <d v="1905-07-11T00:00:00"/>
    <s v="AUGUST"/>
    <n v="100"/>
    <n v="6.6"/>
    <n v="422860"/>
    <n v="979.23"/>
    <s v="Mani Ratnam"/>
    <s v="MOHANLAL"/>
    <s v="U"/>
    <s v="Action"/>
  </r>
  <r>
    <s v="M0055"/>
    <s v="Dune: Part Two 55"/>
    <s v="Sci-Fi"/>
    <s v="English"/>
    <s v="HBO Max"/>
    <d v="1905-07-14T00:00:00"/>
    <s v="DECEMBER"/>
    <n v="161"/>
    <n v="7"/>
    <n v="302899"/>
    <n v="977.09"/>
    <s v="Rajkumar Hirani"/>
    <s v="RANBIR KAPOOR"/>
    <s v="R"/>
    <s v="Thriller"/>
  </r>
  <r>
    <s v="M0504"/>
    <s v="Drishyam 2 504"/>
    <s v="Thriller"/>
    <s v="Malayalam"/>
    <s v="Amazon Prime"/>
    <d v="1905-07-08T00:00:00"/>
    <s v="MARCH"/>
    <n v="116"/>
    <n v="7.3"/>
    <n v="542248"/>
    <n v="1063.55"/>
    <s v="Zoya Akhtar"/>
    <s v="SURIYA"/>
    <s v="PG-13"/>
    <s v="Action"/>
  </r>
  <r>
    <s v="M0063"/>
    <s v="Pathaan 63"/>
    <s v="Action"/>
    <s v="Hindi"/>
    <s v="Apple TV+"/>
    <d v="1905-07-15T00:00:00"/>
    <s v="DECEMBER"/>
    <n v="119"/>
    <n v="6.5"/>
    <n v="495958"/>
    <n v="280.62"/>
    <s v="Jeethu Joseph"/>
    <s v="CHRISTIAN BALE"/>
    <s v="R"/>
    <s v="Animation"/>
  </r>
  <r>
    <s v="M0289"/>
    <s v="Top Gun: Maverick 289"/>
    <s v="Mystery"/>
    <s v="English"/>
    <s v="Netflix"/>
    <d v="1905-07-08T00:00:00"/>
    <s v="NOVEMBER"/>
    <n v="129"/>
    <n v="5.7"/>
    <n v="644312"/>
    <n v="559.28"/>
    <s v="Martin Scorsese"/>
    <s v="RAJINIKANTH"/>
    <s v="R"/>
    <s v="Thriller"/>
  </r>
  <r>
    <s v="M0378"/>
    <s v="Ustad Hotel 378"/>
    <s v="Drama"/>
    <s v="Malayalam"/>
    <s v="Apple TV+"/>
    <d v="1905-07-13T00:00:00"/>
    <s v="APRIL"/>
    <n v="180"/>
    <n v="6.5"/>
    <n v="704750"/>
    <n v="1452.11"/>
    <s v="Lokesh Kanagaraj"/>
    <s v="SHAH RUKH KHAN"/>
    <s v="PG-13"/>
    <s v="Romance"/>
  </r>
  <r>
    <s v="M0074"/>
    <s v="KGF Chapter 2 74"/>
    <s v="Action"/>
    <s v="Kannada"/>
    <s v="Amazon Prime"/>
    <d v="1905-07-11T00:00:00"/>
    <s v="JUNE"/>
    <n v="180"/>
    <n v="7.1"/>
    <n v="436486"/>
    <n v="76.790000000000006"/>
    <s v="Greta Gerwig"/>
    <s v="CHRISTIAN BALE"/>
    <s v="R"/>
    <s v="Action"/>
  </r>
  <r>
    <s v="M0545"/>
    <s v="Glass Onion 545"/>
    <s v="Mystery"/>
    <s v="English"/>
    <s v="Netflix"/>
    <d v="1905-07-12T00:00:00"/>
    <s v="AUGUST"/>
    <n v="97"/>
    <n v="7.7"/>
    <n v="432868"/>
    <n v="27.16"/>
    <s v="Mani Ratnam"/>
    <s v="PRABHAS"/>
    <s v="U"/>
    <s v="Romance"/>
  </r>
  <r>
    <s v="M0118"/>
    <s v="Inception 118"/>
    <s v="Action"/>
    <s v="English"/>
    <s v="HBO Max"/>
    <d v="1905-07-12T00:00:00"/>
    <s v="SEPTEMBER"/>
    <n v="187"/>
    <n v="6.8"/>
    <n v="787125"/>
    <n v="1224.75"/>
    <s v="Zoya Akhtar"/>
    <s v="SHAH RUKH KHAN"/>
    <s v="U/A"/>
    <s v="Action"/>
  </r>
  <r>
    <s v="M0016"/>
    <s v="Premam"/>
    <s v="Romance"/>
    <s v="Malayalam"/>
    <s v="Amazon Prime"/>
    <d v="1905-07-10T00:00:00"/>
    <s v="FEBRUARY"/>
    <n v="141"/>
    <n v="7.2"/>
    <n v="848072"/>
    <n v="967.48"/>
    <s v="Martin Scorsese"/>
    <s v="RYAN GOSLING"/>
    <s v="U"/>
    <s v="Sci-Fi"/>
  </r>
  <r>
    <s v="M0362"/>
    <s v="Barbie 362"/>
    <s v="Sci-Fi"/>
    <s v="English"/>
    <s v="HBO Max"/>
    <d v="1905-07-12T00:00:00"/>
    <s v="JUNE"/>
    <n v="189"/>
    <n v="6.8"/>
    <n v="456201"/>
    <n v="696.5"/>
    <s v="Bong Joon Ho"/>
    <s v="TOM HOLLAND"/>
    <s v="U"/>
    <s v="Thriller"/>
  </r>
  <r>
    <s v="M0075"/>
    <s v="Sita Ramam 75"/>
    <s v="Romance"/>
    <s v="Spanish"/>
    <s v="Apple TV+"/>
    <d v="1905-07-12T00:00:00"/>
    <s v="FEBRUARY"/>
    <n v="144"/>
    <n v="7.6"/>
    <n v="237374"/>
    <n v="1216.99"/>
    <s v="Zoya Akhtar"/>
    <s v="RYAN GOSLING"/>
    <s v="U"/>
    <s v="Action"/>
  </r>
  <r>
    <s v="M0022"/>
    <s v="Dangal"/>
    <s v="Fantasy"/>
    <s v="Hindi"/>
    <s v="Lionsgate+"/>
    <d v="1905-07-07T00:00:00"/>
    <s v="NOVEMBER"/>
    <n v="189"/>
    <n v="7"/>
    <n v="582342"/>
    <n v="399.91"/>
    <s v="S.S. Rajamouli"/>
    <s v="MAMMOOTTY"/>
    <s v="18"/>
    <s v="Mystery"/>
  </r>
  <r>
    <s v="M0215"/>
    <s v="Kumbalangi Nights 215"/>
    <s v="Comedy"/>
    <s v="Malayalam"/>
    <s v="Netflix"/>
    <d v="1905-07-10T00:00:00"/>
    <s v="SEPTEMBER"/>
    <n v="129"/>
    <n v="6.4"/>
    <n v="10860"/>
    <n v="192.61"/>
    <s v="Zoya Akhtar"/>
    <s v="DULQUER SALMAAN"/>
    <s v="U/A"/>
    <s v="Drama"/>
  </r>
  <r>
    <s v="M0445"/>
    <s v="Glass Onion 445"/>
    <s v="Romance"/>
    <s v="English"/>
    <s v="Netflix"/>
    <d v="1905-07-16T00:00:00"/>
    <s v="MARCH"/>
    <n v="158"/>
    <n v="7.8"/>
    <n v="47172"/>
    <n v="47.16"/>
    <s v="Anurag Kashyap"/>
    <s v="CHRISTIAN BALE"/>
    <s v="PG-13"/>
    <s v="Action"/>
  </r>
  <r>
    <s v="M0430"/>
    <s v="Forrest Gump 430"/>
    <s v="Thriller"/>
    <s v="English"/>
    <s v="Netflix"/>
    <d v="1905-07-07T00:00:00"/>
    <s v="JULY"/>
    <n v="169"/>
    <n v="6.7"/>
    <n v="201081"/>
    <n v="259.85000000000002"/>
    <s v="Martin Scorsese"/>
    <s v="NANI"/>
    <s v="U"/>
    <s v="Mystery"/>
  </r>
  <r>
    <s v="M0510"/>
    <s v="The Batman 510"/>
    <s v="Action"/>
    <s v="English"/>
    <s v="HBO Max"/>
    <d v="1905-07-08T00:00:00"/>
    <s v="FEBRUARY"/>
    <n v="156"/>
    <n v="8"/>
    <n v="62406"/>
    <n v="105.01"/>
    <s v="Lijo Jose Pellissery"/>
    <s v="NANI"/>
    <s v="18"/>
    <s v="Action"/>
  </r>
  <r>
    <s v="M0018"/>
    <s v="Inception"/>
    <s v="Sci-Fi"/>
    <s v="English"/>
    <s v="HBO Max"/>
    <d v="1905-07-07T00:00:00"/>
    <s v="OCTOBER"/>
    <n v="179"/>
    <n v="7.2"/>
    <n v="569332"/>
    <n v="49.67"/>
    <s v="Denis Villeneuve"/>
    <s v="ROBERT DOWNEY JR."/>
    <s v="R"/>
    <s v="Comedy"/>
  </r>
  <r>
    <s v="M0193"/>
    <s v="A Quiet Place 193"/>
    <s v="Mystery"/>
    <s v="English"/>
    <s v="SonyLIV"/>
    <d v="1905-07-17T00:00:00"/>
    <s v="JULY"/>
    <n v="106"/>
    <n v="6.2"/>
    <n v="853847"/>
    <n v="63.86"/>
    <s v="Greta Gerwig"/>
    <s v="ALIA BHATT"/>
    <s v="15"/>
    <s v="Romance"/>
  </r>
  <r>
    <s v="M0151"/>
    <s v="Leo 151"/>
    <s v="Action"/>
    <s v="Tamil"/>
    <s v="Netflix"/>
    <d v="1905-07-11T00:00:00"/>
    <s v="DECEMBER"/>
    <n v="87"/>
    <n v="6.1"/>
    <n v="782832"/>
    <n v="72.25"/>
    <s v="Vetrimaaran"/>
    <s v="MOHANLAL"/>
    <s v="U"/>
    <s v="Sci-Fi"/>
  </r>
  <r>
    <s v="M0373"/>
    <s v="Bahubali 2 373"/>
    <s v="Romance"/>
    <s v="Telugu"/>
    <s v="Disney+"/>
    <d v="1905-07-08T00:00:00"/>
    <s v="DECEMBER"/>
    <n v="133"/>
    <n v="6.1"/>
    <n v="915893"/>
    <n v="365.13"/>
    <s v="Denis Villeneuve"/>
    <s v="VIJAY"/>
    <s v="PG"/>
    <s v="Romance"/>
  </r>
  <r>
    <s v="M0032"/>
    <s v="Avengers: Endgame"/>
    <s v="Thriller"/>
    <s v="English"/>
    <s v="Disney+"/>
    <d v="1905-07-16T00:00:00"/>
    <s v="OCTOBER"/>
    <n v="168"/>
    <n v="7"/>
    <n v="338702"/>
    <n v="441.41"/>
    <s v="Greta Gerwig"/>
    <s v="ROBERT DOWNEY JR."/>
    <s v="18"/>
    <s v="Fantasy"/>
  </r>
  <r>
    <s v="M0104"/>
    <s v="Drishyam 2 104"/>
    <s v="Comedy"/>
    <s v="Malayalam"/>
    <s v="Amazon Prime"/>
    <d v="1905-07-15T00:00:00"/>
    <s v="SEPTEMBER"/>
    <n v="179"/>
    <n v="7.5"/>
    <n v="927407"/>
    <n v="694.05"/>
    <s v="Denis Villeneuve"/>
    <s v="DHANUSH"/>
    <s v="U/A"/>
    <s v="Comedy"/>
  </r>
  <r>
    <s v="M0139"/>
    <s v="Top Gun: Maverick 139"/>
    <s v="Action"/>
    <s v="English"/>
    <s v="Apple TV+"/>
    <d v="1905-07-11T00:00:00"/>
    <s v="DECEMBER"/>
    <n v="111"/>
    <n v="6.9"/>
    <n v="503910"/>
    <n v="624.44000000000005"/>
    <s v="S.S. Rajamouli"/>
    <s v="MAMMOOTTY"/>
    <s v="18"/>
    <s v="Romance"/>
  </r>
  <r>
    <s v="M0226"/>
    <s v="Jigarthanda DoubleX 226"/>
    <s v="Drama"/>
    <s v="Tamil"/>
    <s v="Netflix"/>
    <d v="1905-07-15T00:00:00"/>
    <s v="DECEMBER"/>
    <n v="92"/>
    <n v="8.8000000000000007"/>
    <n v="801964"/>
    <n v="565.49"/>
    <s v="Vetrimaaran"/>
    <s v="FAHADH FAASIL"/>
    <s v="U/A"/>
    <s v="Thriller"/>
  </r>
  <r>
    <s v="M0112"/>
    <s v="Barbie 112"/>
    <s v="Comedy"/>
    <s v="English"/>
    <s v="HBO Max"/>
    <d v="1905-07-07T00:00:00"/>
    <s v="JULY"/>
    <n v="145"/>
    <n v="7.2"/>
    <n v="46449"/>
    <n v="1177.0899999999999"/>
    <s v="Bong Joon Ho"/>
    <s v="TOM HOLLAND"/>
    <s v="R"/>
    <s v="Action"/>
  </r>
  <r>
    <s v="M0008"/>
    <s v="12th Fail"/>
    <s v="Comedy"/>
    <s v="Hindi"/>
    <s v="Disney+"/>
    <d v="1905-07-07T00:00:00"/>
    <s v="FEBRUARY"/>
    <n v="104"/>
    <n v="7.8"/>
    <n v="658724"/>
    <n v="223.37"/>
    <s v="Anurag Kashyap"/>
    <s v="DHANUSH"/>
    <s v="PG-13"/>
    <s v="Sci-Fi"/>
  </r>
  <r>
    <s v="M0079"/>
    <s v="The Dark Knight 79"/>
    <s v="Action"/>
    <s v="English"/>
    <s v="Netflix"/>
    <d v="1905-07-12T00:00:00"/>
    <s v="APRIL"/>
    <n v="141"/>
    <n v="6.7"/>
    <n v="381103"/>
    <n v="143.69999999999999"/>
    <s v="Christopher Nolan"/>
    <s v="DHANUSH"/>
    <s v="U/A"/>
    <s v="Mystery"/>
  </r>
  <r>
    <s v="M0380"/>
    <s v="Forrest Gump 380"/>
    <s v="Action"/>
    <s v="Tamil"/>
    <s v="Netflix"/>
    <d v="1905-07-13T00:00:00"/>
    <s v="DECEMBER"/>
    <n v="90"/>
    <n v="6.1"/>
    <n v="585591"/>
    <n v="581.22"/>
    <s v="Jeethu Joseph"/>
    <s v="DULQUER SALMAAN"/>
    <s v="PG-13"/>
    <s v="Action"/>
  </r>
  <r>
    <s v="M0542"/>
    <s v="Get Out 542"/>
    <s v="Horror"/>
    <s v="English"/>
    <s v="Netflix"/>
    <d v="1905-07-17T00:00:00"/>
    <s v="MARCH"/>
    <n v="87"/>
    <n v="5.7"/>
    <n v="30046"/>
    <n v="984.23"/>
    <s v="Jeethu Joseph"/>
    <s v="DULQUER SALMAAN"/>
    <s v="15"/>
    <s v="Romance"/>
  </r>
  <r>
    <s v="M0344"/>
    <s v="Knives Out 344"/>
    <s v="Animation"/>
    <s v="Spanish"/>
    <s v="Netflix"/>
    <d v="1905-07-07T00:00:00"/>
    <s v="JUNE"/>
    <n v="95"/>
    <n v="7.8"/>
    <n v="885322"/>
    <n v="334.66"/>
    <s v="Alfonso Cuarón"/>
    <s v="DHANUSH"/>
    <s v="15"/>
    <s v="Thriller"/>
  </r>
  <r>
    <s v="M0366"/>
    <s v="Premam 366"/>
    <s v="Romance"/>
    <s v="Malayalam"/>
    <s v="Amazon Prime"/>
    <d v="1905-07-13T00:00:00"/>
    <s v="JULY"/>
    <n v="131"/>
    <n v="6.8"/>
    <n v="366027"/>
    <n v="153.05000000000001"/>
    <s v="Alfonso Cuarón"/>
    <s v="DULQUER SALMAAN"/>
    <s v="PG"/>
    <s v="Comedy"/>
  </r>
  <r>
    <s v="M0084"/>
    <s v="Toy Story 4 84"/>
    <s v="Sci-Fi"/>
    <s v="English"/>
    <s v="Disney+"/>
    <d v="1905-07-14T00:00:00"/>
    <s v="FEBRUARY"/>
    <n v="95"/>
    <n v="7.1"/>
    <n v="338558"/>
    <n v="189.56"/>
    <s v="Denis Villeneuve"/>
    <s v="RYAN GOSLING"/>
    <s v="PG-13"/>
    <s v="Action"/>
  </r>
  <r>
    <s v="M0285"/>
    <s v="Coco 285"/>
    <s v="Animation"/>
    <s v="English"/>
    <s v="Paramount+"/>
    <d v="1905-07-10T00:00:00"/>
    <s v="NOVEMBER"/>
    <n v="175"/>
    <n v="7"/>
    <n v="617766"/>
    <n v="666.16"/>
    <s v="S.S. Rajamouli"/>
    <s v="SHAH RUKH KHAN"/>
    <s v="18"/>
    <s v="Drama"/>
  </r>
  <r>
    <s v="M0076"/>
    <s v="Jigarthanda DoubleX 76"/>
    <s v="Action"/>
    <s v="Tamil"/>
    <s v="Netflix"/>
    <d v="1905-07-12T00:00:00"/>
    <s v="NOVEMBER"/>
    <n v="180"/>
    <n v="7.1"/>
    <n v="705800"/>
    <n v="224.71"/>
    <s v="Rajkumar Hirani"/>
    <s v="RANBIR KAPOOR"/>
    <s v="U"/>
    <s v="Comedy"/>
  </r>
  <r>
    <s v="M0503"/>
    <s v="Premalu 503"/>
    <s v="Romance"/>
    <s v="Malayalam"/>
    <s v="Disney+"/>
    <d v="1905-07-15T00:00:00"/>
    <s v="DECEMBER"/>
    <n v="126"/>
    <n v="7"/>
    <n v="55429"/>
    <n v="327.12"/>
    <s v="Alfonso Cuarón"/>
    <s v="VIJAY"/>
    <s v="PG-13"/>
    <s v="Comedy"/>
  </r>
  <r>
    <s v="M0003"/>
    <s v="Premalu"/>
    <s v="Romance"/>
    <s v="Malayalam"/>
    <s v="Amazon Prime"/>
    <d v="1905-07-08T00:00:00"/>
    <s v="JULY"/>
    <n v="97"/>
    <n v="6.8"/>
    <n v="278170"/>
    <n v="1150.19"/>
    <s v="Lijo Jose Pellissery"/>
    <s v="DHANUSH"/>
    <s v="15"/>
    <s v="Action"/>
  </r>
  <r>
    <s v="M0408"/>
    <s v="12th Fail 408"/>
    <s v="Crime"/>
    <s v="Hindi"/>
    <s v="Disney+"/>
    <d v="1905-07-14T00:00:00"/>
    <s v="SEPTEMBER"/>
    <n v="122"/>
    <n v="6"/>
    <n v="409726"/>
    <n v="587.08000000000004"/>
    <s v="Martin Scorsese"/>
    <s v="RAJINIKANTH"/>
    <s v="15"/>
    <s v="Action"/>
  </r>
  <r>
    <s v="M0299"/>
    <s v="La La Land 299"/>
    <s v="Romance"/>
    <s v="English"/>
    <s v="Netflix"/>
    <d v="1905-07-16T00:00:00"/>
    <s v="MARCH"/>
    <n v="157"/>
    <n v="6"/>
    <n v="449912"/>
    <n v="127.01"/>
    <s v="Bong Joon Ho"/>
    <s v="SURIYA"/>
    <s v="R"/>
    <s v="Horror"/>
  </r>
  <r>
    <s v="M0080"/>
    <s v="Forrest Gump 80"/>
    <s v="Animation"/>
    <s v="English"/>
    <s v="Netflix"/>
    <d v="1905-07-17T00:00:00"/>
    <s v="OCTOBER"/>
    <n v="87"/>
    <n v="7.4"/>
    <n v="53835"/>
    <n v="479.4"/>
    <s v="Alfonso Cuarón"/>
    <s v="PRABHAS"/>
    <s v="R"/>
    <s v="Comedy"/>
  </r>
  <r>
    <s v="M0270"/>
    <s v="Train to Busan 270"/>
    <s v="Fantasy"/>
    <s v="Malayalam"/>
    <s v="Netflix"/>
    <d v="1905-07-14T00:00:00"/>
    <s v="FEBRUARY"/>
    <n v="137"/>
    <n v="7.7"/>
    <n v="462894"/>
    <n v="34.21"/>
    <s v="Christopher Nolan"/>
    <s v="CHRISTIAN BALE"/>
    <s v="18"/>
    <s v="Animation"/>
  </r>
  <r>
    <s v="M0209"/>
    <s v="Manjummel Boys 209"/>
    <s v="Fantasy"/>
    <s v="Malayalam"/>
    <s v="Disney+"/>
    <d v="1905-07-09T00:00:00"/>
    <s v="DECEMBER"/>
    <n v="86"/>
    <n v="8.1999999999999993"/>
    <n v="549210"/>
    <n v="822.11"/>
    <s v="Lokesh Kanagaraj"/>
    <s v="NANI"/>
    <s v="18"/>
    <s v="Romance"/>
  </r>
  <r>
    <s v="M0342"/>
    <s v="Get Out 342"/>
    <s v="Horror"/>
    <s v="English"/>
    <s v="Netflix"/>
    <d v="1905-07-08T00:00:00"/>
    <s v="NOVEMBER"/>
    <n v="143"/>
    <n v="7.1"/>
    <n v="648536"/>
    <n v="627.80999999999995"/>
    <s v="Jeethu Joseph"/>
    <s v="RAJINIKANTH"/>
    <s v="U/A"/>
    <s v="Sci-Fi"/>
  </r>
  <r>
    <s v="M0219"/>
    <s v="Parasite 219"/>
    <s v="Thriller"/>
    <s v="Korean"/>
    <s v="Hulu"/>
    <d v="1905-07-08T00:00:00"/>
    <s v="FEBRUARY"/>
    <n v="105"/>
    <n v="7.4"/>
    <n v="739736"/>
    <n v="187.1"/>
    <s v="Lokesh Kanagaraj"/>
    <s v="MOHANLAL"/>
    <s v="PG"/>
    <s v="Animation"/>
  </r>
  <r>
    <s v="M0488"/>
    <s v="Frozen II 488"/>
    <s v="Animation"/>
    <s v="English"/>
    <s v="Disney+"/>
    <d v="1905-07-15T00:00:00"/>
    <s v="JULY"/>
    <n v="119"/>
    <n v="7.5"/>
    <n v="22193"/>
    <n v="827.52"/>
    <s v="Anurag Kashyap"/>
    <s v="DHANUSH"/>
    <s v="15"/>
    <s v="Action"/>
  </r>
  <r>
    <s v="M0470"/>
    <s v="Train to Busan 470"/>
    <s v="Horror"/>
    <s v="Korean"/>
    <s v="Netflix"/>
    <d v="1905-07-15T00:00:00"/>
    <s v="OCTOBER"/>
    <n v="173"/>
    <n v="7.5"/>
    <n v="872603"/>
    <n v="1540.97"/>
    <s v="Anurag Kashyap"/>
    <s v="SHAH RUKH KHAN"/>
    <s v="U"/>
    <s v="Romance"/>
  </r>
  <r>
    <s v="M0441"/>
    <s v="The Conjuring 441"/>
    <s v="Horror"/>
    <s v="Spanish"/>
    <s v="HBO Max"/>
    <d v="1905-07-12T00:00:00"/>
    <s v="JULY"/>
    <n v="110"/>
    <n v="7.2"/>
    <n v="242038"/>
    <n v="582.66"/>
    <s v="Jeethu Joseph"/>
    <s v="SURIYA"/>
    <s v="PG-13"/>
    <s v="Romance"/>
  </r>
  <r>
    <s v="M0198"/>
    <s v="Shutter Island 198"/>
    <s v="Mystery"/>
    <s v="English"/>
    <s v="Paramount+"/>
    <d v="1905-07-17T00:00:00"/>
    <s v="JANUARY"/>
    <n v="90"/>
    <n v="8"/>
    <n v="105211"/>
    <n v="1007.58"/>
    <s v="Rajkumar Hirani"/>
    <s v="FAHADH FAASIL"/>
    <s v="PG-13"/>
    <s v="Crime"/>
  </r>
  <r>
    <s v="M0485"/>
    <s v="Coco 485"/>
    <s v="Animation"/>
    <s v="English"/>
    <s v="Disney+"/>
    <d v="1905-07-14T00:00:00"/>
    <s v="AUGUST"/>
    <n v="156"/>
    <n v="7.7"/>
    <n v="411196"/>
    <n v="320.44"/>
    <s v="Denis Villeneuve"/>
    <s v="NANI"/>
    <s v="PG"/>
    <s v="Romance"/>
  </r>
  <r>
    <s v="M0494"/>
    <s v="Knives Out 494"/>
    <s v="Drama"/>
    <s v="English"/>
    <s v="Apple TV+"/>
    <d v="1905-07-11T00:00:00"/>
    <s v="NOVEMBER"/>
    <n v="105"/>
    <n v="7.4"/>
    <n v="269703"/>
    <n v="410.53"/>
    <s v="Rajkumar Hirani"/>
    <s v="VIJAY"/>
    <s v="U"/>
    <s v="Animation"/>
  </r>
  <r>
    <s v="M0140"/>
    <s v="John Wick 4 140"/>
    <s v="Action"/>
    <s v="Korean"/>
    <s v="Disney+"/>
    <d v="1905-07-11T00:00:00"/>
    <s v="JANUARY"/>
    <n v="121"/>
    <n v="6.4"/>
    <n v="749631"/>
    <n v="151"/>
    <s v="Bong Joon Ho"/>
    <s v="ROBERT DOWNEY JR."/>
    <s v="U/A"/>
    <s v="Fantasy"/>
  </r>
  <r>
    <s v="M0168"/>
    <s v="Inception 168"/>
    <s v="Sci-Fi"/>
    <s v="English"/>
    <s v="HBO Max"/>
    <d v="1905-07-17T00:00:00"/>
    <s v="JANUARY"/>
    <n v="174"/>
    <n v="6.9"/>
    <n v="180508"/>
    <n v="145.5"/>
    <s v="Denis Villeneuve"/>
    <s v="MAMMOOTTY"/>
    <s v="U"/>
    <s v="Fantasy"/>
  </r>
  <r>
    <s v="M0355"/>
    <s v="Dune: Part Two 355"/>
    <s v="Sci-Fi"/>
    <s v="English"/>
    <s v="Apple TV+"/>
    <d v="1905-07-15T00:00:00"/>
    <s v="JANUARY"/>
    <n v="178"/>
    <n v="7.8"/>
    <n v="227187"/>
    <n v="348.5"/>
    <s v="Greta Gerwig"/>
    <s v="DHANUSH"/>
    <s v="U/A"/>
    <s v="Horror"/>
  </r>
  <r>
    <s v="M0404"/>
    <s v="Drishyam 2 404"/>
    <s v="Thriller"/>
    <s v="Malayalam"/>
    <s v="Amazon Prime"/>
    <d v="1905-07-14T00:00:00"/>
    <s v="MARCH"/>
    <n v="121"/>
    <n v="6.4"/>
    <n v="806045"/>
    <n v="411.37"/>
    <s v="Anurag Kashyap"/>
    <s v="MAMMOOTTY"/>
    <s v="15"/>
    <s v="Thriller"/>
  </r>
  <r>
    <s v="M0396"/>
    <s v="The Menu 396"/>
    <s v="Horror"/>
    <s v="English"/>
    <s v="HBO Max"/>
    <d v="1905-07-15T00:00:00"/>
    <s v="MAY"/>
    <n v="107"/>
    <n v="6.4"/>
    <n v="118483"/>
    <n v="99.6"/>
    <s v="Lijo Jose Pellissery"/>
    <s v="MOHANLAL"/>
    <s v="15"/>
    <s v="Animation"/>
  </r>
  <r>
    <s v="M0573"/>
    <s v="Bahubali 2 573"/>
    <s v="Action"/>
    <s v="Telugu"/>
    <s v="Netflix"/>
    <d v="1905-07-07T00:00:00"/>
    <s v="AUGUST"/>
    <n v="151"/>
    <n v="7"/>
    <n v="108477"/>
    <n v="28.17"/>
    <s v="Lijo Jose Pellissery"/>
    <s v="VIJAY"/>
    <s v="PG"/>
    <s v="Horror"/>
  </r>
  <r>
    <s v="M0279"/>
    <s v="The Dark Knight 279"/>
    <s v="Action"/>
    <s v="English"/>
    <s v="HBO Max"/>
    <d v="1905-07-13T00:00:00"/>
    <s v="JULY"/>
    <n v="162"/>
    <n v="8.3000000000000007"/>
    <n v="287686"/>
    <n v="311.79000000000002"/>
    <s v="Mani Ratnam"/>
    <s v="VIJAY"/>
    <s v="PG-13"/>
    <s v="Horror"/>
  </r>
  <r>
    <s v="M0480"/>
    <s v="Forrest Gump 480"/>
    <s v="Horror"/>
    <s v="English"/>
    <s v="Peacock"/>
    <d v="1905-07-08T00:00:00"/>
    <s v="APRIL"/>
    <n v="139"/>
    <n v="6.9"/>
    <n v="761227"/>
    <n v="745.16"/>
    <s v="Alfonso Cuarón"/>
    <s v="DHANUSH"/>
    <s v="PG-13"/>
    <s v="Mystery"/>
  </r>
  <r>
    <s v="M0101"/>
    <s v="Leo 101"/>
    <s v="Action"/>
    <s v="Korean"/>
    <s v="Netflix"/>
    <d v="1905-07-12T00:00:00"/>
    <s v="NOVEMBER"/>
    <n v="161"/>
    <n v="8.1999999999999993"/>
    <n v="351705"/>
    <n v="26.3"/>
    <s v="S.S. Rajamouli"/>
    <s v="ALIA BHATT"/>
    <s v="R"/>
    <s v="Animation"/>
  </r>
  <r>
    <s v="M0306"/>
    <s v="Kantara 306"/>
    <s v="Drama"/>
    <s v="Kannada"/>
    <s v="Paramount+"/>
    <d v="1905-07-14T00:00:00"/>
    <s v="OCTOBER"/>
    <n v="85"/>
    <n v="6.9"/>
    <n v="527014"/>
    <n v="827.18"/>
    <s v="Rajkumar Hirani"/>
    <s v="CHRISTIAN BALE"/>
    <s v="U/A"/>
    <s v="Drama"/>
  </r>
  <r>
    <s v="M0595"/>
    <s v="Glass Onion 595"/>
    <s v="Crime"/>
    <s v="English"/>
    <s v="Netflix"/>
    <d v="1905-07-11T00:00:00"/>
    <s v="OCTOBER"/>
    <n v="110"/>
    <n v="6.1"/>
    <n v="289620"/>
    <n v="387.04"/>
    <s v="Rajkumar Hirani"/>
    <s v="DHANUSH"/>
    <s v="R"/>
    <s v="Action"/>
  </r>
  <r>
    <s v="M0311"/>
    <s v="Oppenheimer 311"/>
    <s v="Drama"/>
    <s v="Korean"/>
    <s v="SonyLIV"/>
    <d v="1905-07-08T00:00:00"/>
    <s v="MARCH"/>
    <n v="145"/>
    <n v="8"/>
    <n v="921190"/>
    <n v="819.44"/>
    <s v="Rajkumar Hirani"/>
    <s v="ROBERT DOWNEY JR."/>
    <s v="15"/>
    <s v="Sci-Fi"/>
  </r>
  <r>
    <s v="M0572"/>
    <s v="Dangal 572"/>
    <s v="Drama"/>
    <s v="Korean"/>
    <s v="Amazon Prime"/>
    <d v="1905-07-13T00:00:00"/>
    <s v="APRIL"/>
    <n v="161"/>
    <n v="7.4"/>
    <n v="826527"/>
    <n v="144.26"/>
    <s v="Mani Ratnam"/>
    <s v="SURIYA"/>
    <s v="15"/>
    <s v="Sci-Fi"/>
  </r>
  <r>
    <s v="M0322"/>
    <s v="Dangal 322"/>
    <s v="Mystery"/>
    <s v="Hindi"/>
    <s v="Amazon Prime"/>
    <d v="1905-07-13T00:00:00"/>
    <s v="OCTOBER"/>
    <n v="146"/>
    <n v="6.9"/>
    <n v="808169"/>
    <n v="191.71"/>
    <s v="Martin Scorsese"/>
    <s v="SHAH RUKH KHAN"/>
    <s v="R"/>
    <s v="Thriller"/>
  </r>
  <r>
    <s v="M0269"/>
    <s v="Parasite 269"/>
    <s v="Thriller"/>
    <s v="Malayalam"/>
    <s v="Hulu"/>
    <d v="1905-07-07T00:00:00"/>
    <s v="MARCH"/>
    <n v="98"/>
    <n v="6.3"/>
    <n v="842035"/>
    <n v="534.58000000000004"/>
    <s v="Alfonso Cuarón"/>
    <s v="NANI"/>
    <s v="U"/>
    <s v="Horror"/>
  </r>
  <r>
    <s v="M0467"/>
    <s v="Interstellar 467"/>
    <s v="Sci-Fi"/>
    <s v="English"/>
    <s v="Disney+"/>
    <d v="1905-07-16T00:00:00"/>
    <s v="JANUARY"/>
    <n v="103"/>
    <n v="6.5"/>
    <n v="142879"/>
    <n v="104.62"/>
    <s v="Anurag Kashyap"/>
    <s v="NANI"/>
    <s v="PG"/>
    <s v="Action"/>
  </r>
  <r>
    <s v="M0600"/>
    <s v="The Notebook 600"/>
    <s v="Romance"/>
    <s v="English"/>
    <s v="Hulu"/>
    <d v="1905-07-17T00:00:00"/>
    <s v="DECEMBER"/>
    <n v="144"/>
    <n v="7.4"/>
    <n v="509106"/>
    <n v="157.53"/>
    <s v="Bong Joon Ho"/>
    <s v="SHAH RUKH KHAN"/>
    <s v="PG-13"/>
    <s v="Action"/>
  </r>
  <r>
    <s v="M0155"/>
    <s v="Dune: Part Two 155"/>
    <s v="Action"/>
    <s v="English"/>
    <s v="HBO Max"/>
    <d v="1905-07-07T00:00:00"/>
    <s v="APRIL"/>
    <n v="111"/>
    <n v="8.1"/>
    <n v="468927"/>
    <n v="828.18"/>
    <s v="Jeethu Joseph"/>
    <s v="LEONARDO DICAPRIO"/>
    <s v="PG-13"/>
    <s v="Horror"/>
  </r>
  <r>
    <s v="M0132"/>
    <s v="Avengers: Endgame 132"/>
    <s v="Action"/>
    <s v="English"/>
    <s v="Disney+"/>
    <d v="1905-07-07T00:00:00"/>
    <s v="OCTOBER"/>
    <n v="156"/>
    <n v="6.5"/>
    <n v="204910"/>
    <n v="251.25"/>
    <s v="Greta Gerwig"/>
    <s v="SHAH RUKH KHAN"/>
    <s v="PG"/>
    <s v="Action"/>
  </r>
  <r>
    <s v="M0231"/>
    <s v="The Shawshank Redemption 231"/>
    <s v="Drama"/>
    <s v="English"/>
    <s v="HBO Max"/>
    <d v="1905-07-16T00:00:00"/>
    <s v="JULY"/>
    <n v="183"/>
    <n v="7.4"/>
    <n v="632450"/>
    <n v="503.24"/>
    <s v="Martin Scorsese"/>
    <s v="MAMMOOTTY"/>
    <s v="U/A"/>
    <s v="Drama"/>
  </r>
  <r>
    <s v="M0375"/>
    <s v="Sita Ramam 375"/>
    <s v="Comedy"/>
    <s v="Telugu"/>
    <s v="Amazon Prime"/>
    <d v="1905-07-09T00:00:00"/>
    <s v="JUNE"/>
    <n v="93"/>
    <n v="5.5"/>
    <n v="124938"/>
    <n v="306.27"/>
    <s v="Bong Joon Ho"/>
    <s v="TOM HOLLAND"/>
    <s v="PG-13"/>
    <s v="Crime"/>
  </r>
  <r>
    <s v="M0271"/>
    <s v="3 Idiots 271"/>
    <s v="Comedy"/>
    <s v="Kannada"/>
    <s v="Netflix"/>
    <d v="1905-07-16T00:00:00"/>
    <s v="FEBRUARY"/>
    <n v="140"/>
    <n v="6.9"/>
    <n v="363344"/>
    <n v="849.23"/>
    <s v="Zoya Akhtar"/>
    <s v="RYAN GOSLING"/>
    <s v="U"/>
    <s v="Mystery"/>
  </r>
  <r>
    <s v="M0115"/>
    <s v="Kumbalangi Nights 115"/>
    <s v="Adventure"/>
    <s v="Malayalam"/>
    <s v="Netflix"/>
    <d v="1905-07-17T00:00:00"/>
    <s v="APRIL"/>
    <n v="121"/>
    <n v="6.4"/>
    <n v="908655"/>
    <n v="433.04"/>
    <s v="Anurag Kashyap"/>
    <s v="DHANUSH"/>
    <s v="PG-13"/>
    <s v="Drama"/>
  </r>
  <r>
    <s v="M0403"/>
    <s v="Premalu 403"/>
    <s v="Romance"/>
    <s v="Malayalam"/>
    <s v="Paramount+"/>
    <d v="1905-07-10T00:00:00"/>
    <s v="APRIL"/>
    <n v="103"/>
    <n v="7.9"/>
    <n v="381904"/>
    <n v="544.57000000000005"/>
    <s v="Alfonso Cuarón"/>
    <s v="RAJINIKANTH"/>
    <s v="PG-13"/>
    <s v="Drama"/>
  </r>
  <r>
    <s v="M0218"/>
    <s v="Inception 218"/>
    <s v="Sci-Fi"/>
    <s v="English"/>
    <s v="Disney+"/>
    <d v="1905-07-16T00:00:00"/>
    <s v="FEBRUARY"/>
    <n v="104"/>
    <n v="6.9"/>
    <n v="111590"/>
    <n v="167.73"/>
    <s v="Rajkumar Hirani"/>
    <s v="RYAN GOSLING"/>
    <s v="R"/>
    <s v="Mystery"/>
  </r>
  <r>
    <s v="M0596"/>
    <s v="The Menu 596"/>
    <s v="Thriller"/>
    <s v="English"/>
    <s v="HBO Max"/>
    <d v="1905-07-14T00:00:00"/>
    <s v="AUGUST"/>
    <n v="144"/>
    <n v="7.2"/>
    <n v="604918"/>
    <n v="16.489999999999998"/>
    <s v="Vetrimaaran"/>
    <s v="DULQUER SALMAAN"/>
    <s v="15"/>
    <s v="Thriller"/>
  </r>
  <r>
    <s v="M0288"/>
    <s v="Frozen II 288"/>
    <s v="Animation"/>
    <s v="English"/>
    <s v="Disney+"/>
    <d v="1905-07-15T00:00:00"/>
    <s v="JULY"/>
    <n v="96"/>
    <n v="6.7"/>
    <n v="367175"/>
    <n v="126.77"/>
    <s v="Vetrimaaran"/>
    <s v="NANI"/>
    <s v="U/A"/>
    <s v="Sci-Fi"/>
  </r>
  <r>
    <s v="M0091"/>
    <s v="The Conjuring 91"/>
    <s v="Horror"/>
    <s v="English"/>
    <s v="HBO Max"/>
    <d v="1905-07-16T00:00:00"/>
    <s v="OCTOBER"/>
    <n v="95"/>
    <n v="7.5"/>
    <n v="791883"/>
    <n v="825.09"/>
    <s v="Mani Ratnam"/>
    <s v="SURIYA"/>
    <s v="15"/>
    <s v="Romance"/>
  </r>
  <r>
    <s v="M0211"/>
    <s v="Oppenheimer 211"/>
    <s v="Drama"/>
    <s v="Malayalam"/>
    <s v="Peacock"/>
    <d v="1905-07-11T00:00:00"/>
    <s v="FEBRUARY"/>
    <n v="158"/>
    <n v="7"/>
    <n v="777564"/>
    <n v="140.37"/>
    <s v="Jeethu Joseph"/>
    <s v="LEONARDO DICAPRIO"/>
    <s v="PG"/>
    <s v="Action"/>
  </r>
  <r>
    <s v="M0227"/>
    <s v="Bangalore Days 227"/>
    <s v="Romance"/>
    <s v="Malayalam"/>
    <s v="Disney+"/>
    <d v="1905-07-16T00:00:00"/>
    <s v="JANUARY"/>
    <n v="175"/>
    <n v="6.6"/>
    <n v="591784"/>
    <n v="266.42"/>
    <s v="Greta Gerwig"/>
    <s v="DULQUER SALMAAN"/>
    <s v="PG-13"/>
    <s v="Action"/>
  </r>
  <r>
    <s v="M0584"/>
    <s v="Toy Story 4 584"/>
    <s v="Animation"/>
    <s v="English"/>
    <s v="Disney+"/>
    <d v="1905-07-10T00:00:00"/>
    <s v="APRIL"/>
    <n v="110"/>
    <n v="7.3"/>
    <n v="474840"/>
    <n v="745.99"/>
    <s v="Anurag Kashyap"/>
    <s v="DHANUSH"/>
    <s v="U/A"/>
    <s v="Drama"/>
  </r>
  <r>
    <s v="M0237"/>
    <s v="Zootopia 237"/>
    <s v="Animation"/>
    <s v="English"/>
    <s v="Disney+"/>
    <d v="1905-07-07T00:00:00"/>
    <s v="JULY"/>
    <n v="96"/>
    <n v="6.9"/>
    <n v="630171"/>
    <n v="175.6"/>
    <s v="Lokesh Kanagaraj"/>
    <s v="DULQUER SALMAAN"/>
    <s v="PG-13"/>
    <s v="Comedy"/>
  </r>
  <r>
    <s v="M0397"/>
    <s v="Gone Girl 397"/>
    <s v="Mystery"/>
    <s v="English"/>
    <s v="Netflix"/>
    <d v="1905-07-10T00:00:00"/>
    <s v="JUNE"/>
    <n v="146"/>
    <n v="7.1"/>
    <n v="814005"/>
    <n v="495.38"/>
    <s v="Zoya Akhtar"/>
    <s v="CHRISTIAN BALE"/>
    <s v="U/A"/>
    <s v="Comedy"/>
  </r>
  <r>
    <s v="M0358"/>
    <s v="12th Fail 358"/>
    <s v="Drama"/>
    <s v="Kannada"/>
    <s v="Disney+"/>
    <d v="1905-07-16T00:00:00"/>
    <s v="SEPTEMBER"/>
    <n v="112"/>
    <n v="7"/>
    <n v="394082"/>
    <n v="1344.29"/>
    <s v="Vetrimaaran"/>
    <s v="SHAH RUKH KHAN"/>
    <s v="PG-13"/>
    <s v="Adventure"/>
  </r>
  <r>
    <s v="M0351"/>
    <s v="Leo 351"/>
    <s v="Action"/>
    <s v="Tamil"/>
    <s v="Lionsgate+"/>
    <d v="1905-07-12T00:00:00"/>
    <s v="AUGUST"/>
    <n v="85"/>
    <n v="7.3"/>
    <n v="770095"/>
    <n v="44.43"/>
    <s v="Alfonso Cuarón"/>
    <s v="RANBIR KAPOOR"/>
    <s v="18"/>
    <s v="Romance"/>
  </r>
  <r>
    <s v="M0300"/>
    <s v="The Notebook 300"/>
    <s v="Romance"/>
    <s v="English"/>
    <s v="Amazon Prime"/>
    <d v="1905-07-14T00:00:00"/>
    <s v="AUGUST"/>
    <n v="142"/>
    <n v="6.6"/>
    <n v="376967"/>
    <n v="788.73"/>
    <s v="Lokesh Kanagaraj"/>
    <s v="MOHANLAL"/>
    <s v="R"/>
    <s v="Sci-Fi"/>
  </r>
  <r>
    <s v="M0152"/>
    <s v="Jawan 152"/>
    <s v="Drama"/>
    <s v="Spanish"/>
    <s v="Netflix"/>
    <d v="1905-07-13T00:00:00"/>
    <s v="MARCH"/>
    <n v="183"/>
    <n v="8"/>
    <n v="142807"/>
    <n v="1411.61"/>
    <s v="Vetrimaaran"/>
    <s v="DHANUSH"/>
    <s v="R"/>
    <s v="Thriller"/>
  </r>
  <r>
    <s v="M0501"/>
    <s v="Leo 501"/>
    <s v="Action"/>
    <s v="Tamil"/>
    <s v="Netflix"/>
    <d v="1905-07-13T00:00:00"/>
    <s v="MAY"/>
    <n v="123"/>
    <n v="8.4"/>
    <n v="247698"/>
    <n v="496.84"/>
    <s v="Lijo Jose Pellissery"/>
    <s v="SHAH RUKH KHAN"/>
    <s v="R"/>
    <s v="Animation"/>
  </r>
  <r>
    <s v="M0365"/>
    <s v="Kumbalangi Nights 365"/>
    <s v="Comedy"/>
    <s v="Malayalam"/>
    <s v="Netflix"/>
    <d v="1905-07-10T00:00:00"/>
    <s v="AUGUST"/>
    <n v="135"/>
    <n v="6.9"/>
    <n v="646719"/>
    <n v="1075.01"/>
    <s v="Rajkumar Hirani"/>
    <s v="ALIA BHATT"/>
    <s v="PG"/>
    <s v="Horror"/>
  </r>
  <r>
    <s v="M0095"/>
    <s v="Glass Onion 95"/>
    <s v="Comedy"/>
    <s v="English"/>
    <s v="Netflix"/>
    <d v="1905-07-12T00:00:00"/>
    <s v="FEBRUARY"/>
    <n v="140"/>
    <n v="7.5"/>
    <n v="618276"/>
    <n v="134.43"/>
    <s v="Bong Joon Ho"/>
    <s v="RAJINIKANTH"/>
    <s v="PG"/>
    <s v="Drama"/>
  </r>
  <r>
    <s v="M0356"/>
    <s v="Kantara 356"/>
    <s v="Drama"/>
    <s v="Kannada"/>
    <s v="Amazon Prime"/>
    <d v="1905-07-09T00:00:00"/>
    <s v="SEPTEMBER"/>
    <n v="180"/>
    <n v="7.5"/>
    <n v="586053"/>
    <n v="158.18"/>
    <s v="Martin Scorsese"/>
    <s v="SHAH RUKH KHAN"/>
    <s v="U"/>
    <s v="Romance"/>
  </r>
  <r>
    <s v="M0482"/>
    <s v="Avengers: Endgame 482"/>
    <s v="Action"/>
    <s v="Korean"/>
    <s v="Disney+"/>
    <d v="1905-07-12T00:00:00"/>
    <s v="MARCH"/>
    <n v="123"/>
    <n v="7.8"/>
    <n v="652979"/>
    <n v="922.63"/>
    <s v="Alfonso Cuarón"/>
    <s v="SHAH RUKH KHAN"/>
    <s v="PG"/>
    <s v="Animation"/>
  </r>
  <r>
    <s v="M0345"/>
    <s v="Glass Onion 345"/>
    <s v="Mystery"/>
    <s v="English"/>
    <s v="Peacock"/>
    <d v="1905-07-07T00:00:00"/>
    <s v="FEBRUARY"/>
    <n v="183"/>
    <n v="7"/>
    <n v="465278"/>
    <n v="472.43"/>
    <s v="Mani Ratnam"/>
    <s v="MAMMOOTTY"/>
    <s v="18"/>
    <s v="Animation"/>
  </r>
  <r>
    <s v="M0565"/>
    <s v="Kumbalangi Nights 565"/>
    <s v="Action"/>
    <s v="Malayalam"/>
    <s v="SonyLIV"/>
    <d v="1905-07-10T00:00:00"/>
    <s v="JANUARY"/>
    <n v="110"/>
    <n v="8.3000000000000007"/>
    <n v="117135"/>
    <n v="1004.43"/>
    <s v="Lokesh Kanagaraj"/>
    <s v="RYAN GOSLING"/>
    <s v="18"/>
    <s v="Mystery"/>
  </r>
  <r>
    <s v="M0264"/>
    <s v="Vikram 264"/>
    <s v="Action"/>
    <s v="Tamil"/>
    <s v="Disney+"/>
    <d v="1905-07-16T00:00:00"/>
    <s v="DECEMBER"/>
    <n v="102"/>
    <n v="7.7"/>
    <n v="439970"/>
    <n v="312.61"/>
    <s v="S.S. Rajamouli"/>
    <s v="MAMMOOTTY"/>
    <s v="PG-13"/>
    <s v="Drama"/>
  </r>
  <r>
    <s v="M0260"/>
    <s v="The Batman 260"/>
    <s v="Action"/>
    <s v="English"/>
    <s v="HBO Max"/>
    <d v="1905-07-12T00:00:00"/>
    <s v="MAY"/>
    <n v="101"/>
    <n v="7"/>
    <n v="108497"/>
    <n v="460.75"/>
    <s v="Rajkumar Hirani"/>
    <s v="LEONARDO DICAPRIO"/>
    <s v="PG"/>
    <s v="Action"/>
  </r>
  <r>
    <s v="M0574"/>
    <s v="KGF Chapter 2 574"/>
    <s v="Action"/>
    <s v="Kannada"/>
    <s v="Amazon Prime"/>
    <d v="1905-07-09T00:00:00"/>
    <s v="APRIL"/>
    <n v="102"/>
    <n v="7.6"/>
    <n v="836541"/>
    <n v="21.41"/>
    <s v="Greta Gerwig"/>
    <s v="NANI"/>
    <s v="15"/>
    <s v="Action"/>
  </r>
  <r>
    <s v="M0560"/>
    <s v="The Batman 560"/>
    <s v="Action"/>
    <s v="English"/>
    <s v="SonyLIV"/>
    <d v="1905-07-08T00:00:00"/>
    <s v="MAY"/>
    <n v="96"/>
    <n v="7.8"/>
    <n v="415307"/>
    <n v="1115.0999999999999"/>
    <s v="Lijo Jose Pellissery"/>
    <s v="SURIYA"/>
    <s v="15"/>
    <s v="Romance"/>
  </r>
  <r>
    <s v="M0446"/>
    <s v="The Menu 446"/>
    <s v="Fantasy"/>
    <s v="Spanish"/>
    <s v="HBO Max"/>
    <d v="1905-07-08T00:00:00"/>
    <s v="SEPTEMBER"/>
    <n v="181"/>
    <n v="6.7"/>
    <n v="13826"/>
    <n v="612.88"/>
    <s v="Lokesh Kanagaraj"/>
    <s v="NANI"/>
    <s v="U/A"/>
    <s v="Drama"/>
  </r>
  <r>
    <s v="M0377"/>
    <s v="Bangalore Days 377"/>
    <s v="Romance"/>
    <s v="Malayalam"/>
    <s v="Disney+"/>
    <d v="1905-07-14T00:00:00"/>
    <s v="MARCH"/>
    <n v="149"/>
    <n v="7.7"/>
    <n v="681921"/>
    <n v="616.69000000000005"/>
    <s v="Mani Ratnam"/>
    <s v="VIJAY"/>
    <s v="U/A"/>
    <s v="Action"/>
  </r>
  <r>
    <s v="M0251"/>
    <s v="Leo 251"/>
    <s v="Fantasy"/>
    <s v="Telugu"/>
    <s v="Netflix"/>
    <d v="1905-07-13T00:00:00"/>
    <s v="JUNE"/>
    <n v="143"/>
    <n v="7.2"/>
    <n v="710891"/>
    <n v="652.74"/>
    <s v="Christopher Nolan"/>
    <s v="CHRISTIAN BALE"/>
    <s v="15"/>
    <s v="Comedy"/>
  </r>
  <r>
    <s v="M0119"/>
    <s v="Parasite 119"/>
    <s v="Thriller"/>
    <s v="Korean"/>
    <s v="Hulu"/>
    <d v="1905-07-13T00:00:00"/>
    <s v="OCTOBER"/>
    <n v="89"/>
    <n v="6.3"/>
    <n v="389784"/>
    <n v="557.33000000000004"/>
    <s v="Greta Gerwig"/>
    <s v="NANI"/>
    <s v="PG"/>
    <s v="Comedy"/>
  </r>
  <r>
    <s v="M0037"/>
    <s v="Zootopia"/>
    <s v="Animation"/>
    <s v="English"/>
    <s v="Disney+"/>
    <d v="1905-07-11T00:00:00"/>
    <s v="APRIL"/>
    <n v="119"/>
    <n v="7.1"/>
    <n v="85291"/>
    <n v="85.33"/>
    <s v="Bong Joon Ho"/>
    <s v="PRABHAS"/>
    <s v="PG-13"/>
    <s v="Drama"/>
  </r>
  <r>
    <s v="M0335"/>
    <s v="Coco 335"/>
    <s v="Sci-Fi"/>
    <s v="English"/>
    <s v="Disney+"/>
    <d v="1905-07-10T00:00:00"/>
    <s v="NOVEMBER"/>
    <n v="117"/>
    <n v="8.3000000000000007"/>
    <n v="84753"/>
    <n v="187.61"/>
    <s v="Rajkumar Hirani"/>
    <s v="ROBERT DOWNEY JR."/>
    <s v="U"/>
    <s v="Action"/>
  </r>
  <r>
    <s v="M0538"/>
    <s v="Frozen II 538"/>
    <s v="Sci-Fi"/>
    <s v="English"/>
    <s v="Disney+"/>
    <d v="1905-07-13T00:00:00"/>
    <s v="JULY"/>
    <n v="137"/>
    <n v="7.6"/>
    <n v="942489"/>
    <n v="753.78"/>
    <s v="Christopher Nolan"/>
    <s v="SHAH RUKH KHAN"/>
    <s v="R"/>
    <s v="Mystery"/>
  </r>
  <r>
    <s v="M0463"/>
    <s v="Pathaan 463"/>
    <s v="Sci-Fi"/>
    <s v="Hindi"/>
    <s v="Amazon Prime"/>
    <d v="1905-07-16T00:00:00"/>
    <s v="OCTOBER"/>
    <n v="96"/>
    <n v="7.6"/>
    <n v="910466"/>
    <n v="403.07"/>
    <s v="Rajkumar Hirani"/>
    <s v="TOM HOLLAND"/>
    <s v="18"/>
    <s v="Action"/>
  </r>
  <r>
    <s v="M0593"/>
    <s v="A Quiet Place 593"/>
    <s v="Mystery"/>
    <s v="English"/>
    <s v="Paramount+"/>
    <d v="1905-07-08T00:00:00"/>
    <s v="JULY"/>
    <n v="121"/>
    <n v="7.4"/>
    <n v="550668"/>
    <n v="22.93"/>
    <s v="Lokesh Kanagaraj"/>
    <s v="RAJINIKANTH"/>
    <s v="PG-13"/>
    <s v="Action"/>
  </r>
  <r>
    <s v="M0001"/>
    <s v="Leo"/>
    <s v="Action"/>
    <s v="Tamil"/>
    <s v="Netflix"/>
    <d v="1905-07-10T00:00:00"/>
    <s v="MARCH"/>
    <n v="179"/>
    <n v="8.1999999999999993"/>
    <n v="572658"/>
    <n v="85.45"/>
    <s v="Rajkumar Hirani"/>
    <s v="PRABHAS"/>
    <s v="15"/>
    <s v="Action"/>
  </r>
  <r>
    <s v="M0042"/>
    <s v="Get Out"/>
    <s v="Action"/>
    <s v="Kannada"/>
    <s v="Netflix"/>
    <d v="1905-07-08T00:00:00"/>
    <s v="NOVEMBER"/>
    <n v="90"/>
    <n v="8.5"/>
    <n v="791670"/>
    <n v="23.83"/>
    <s v="Denis Villeneuve"/>
    <s v="VIJAY"/>
    <s v="U/A"/>
    <s v="Action"/>
  </r>
  <r>
    <s v="M0035"/>
    <s v="Coco"/>
    <s v="Animation"/>
    <s v="French"/>
    <s v="Disney+"/>
    <d v="1905-07-15T00:00:00"/>
    <s v="APRIL"/>
    <n v="100"/>
    <n v="5.9"/>
    <n v="700805"/>
    <n v="607.73"/>
    <s v="Alfonso Cuarón"/>
    <s v="SHAH RUKH KHAN"/>
    <s v="R"/>
    <s v="Action"/>
  </r>
  <r>
    <s v="M0145"/>
    <s v="Glass Onion 145"/>
    <s v="Mystery"/>
    <s v="English"/>
    <s v="Netflix"/>
    <d v="1905-07-14T00:00:00"/>
    <s v="NOVEMBER"/>
    <n v="117"/>
    <n v="7.2"/>
    <n v="354287"/>
    <n v="912.13"/>
    <s v="Lokesh Kanagaraj"/>
    <s v="DHANUSH"/>
    <s v="15"/>
    <s v="Fantasy"/>
  </r>
  <r>
    <s v="M0577"/>
    <s v="Bangalore Days 577"/>
    <s v="Romance"/>
    <s v="Malayalam"/>
    <s v="Disney+"/>
    <d v="1905-07-07T00:00:00"/>
    <s v="AUGUST"/>
    <n v="113"/>
    <n v="8.1"/>
    <n v="727694"/>
    <n v="294.38"/>
    <s v="Mani Ratnam"/>
    <s v="RAJINIKANTH"/>
    <s v="U/A"/>
    <s v="Romance"/>
  </r>
  <r>
    <s v="M0069"/>
    <s v="Parasite 69"/>
    <s v="Thriller"/>
    <s v="Korean"/>
    <s v="Hulu"/>
    <d v="1905-07-12T00:00:00"/>
    <s v="JULY"/>
    <n v="103"/>
    <n v="7.2"/>
    <n v="715719"/>
    <n v="384.95"/>
    <s v="Denis Villeneuve"/>
    <s v="DHANUSH"/>
    <s v="18"/>
    <s v="Fantasy"/>
  </r>
  <r>
    <s v="M0330"/>
    <s v="Forrest Gump 330"/>
    <s v="Romance"/>
    <s v="English"/>
    <s v="Disney+"/>
    <d v="1905-07-14T00:00:00"/>
    <s v="JANUARY"/>
    <n v="107"/>
    <n v="7.6"/>
    <n v="442796"/>
    <n v="940.51"/>
    <s v="Alfonso Cuarón"/>
    <s v="ROBERT DOWNEY JR."/>
    <s v="PG"/>
    <s v="Thriller"/>
  </r>
  <r>
    <s v="M0455"/>
    <s v="Dune: Part Two 455"/>
    <s v="Sci-Fi"/>
    <s v="English"/>
    <s v="Paramount+"/>
    <d v="1905-07-14T00:00:00"/>
    <s v="MAY"/>
    <n v="157"/>
    <n v="8.1"/>
    <n v="180879"/>
    <n v="458.65"/>
    <s v="S.S. Rajamouli"/>
    <s v="LEONARDO DICAPRIO"/>
    <s v="PG"/>
    <s v="Animation"/>
  </r>
  <r>
    <s v="M0338"/>
    <s v="Frozen II 338"/>
    <s v="Animation"/>
    <s v="English"/>
    <s v="Disney+"/>
    <d v="1905-07-17T00:00:00"/>
    <s v="OCTOBER"/>
    <n v="140"/>
    <n v="5.9"/>
    <n v="549687"/>
    <n v="703.15"/>
    <s v="Mani Ratnam"/>
    <s v="RYAN GOSLING"/>
    <s v="R"/>
    <s v="Action"/>
  </r>
  <r>
    <s v="M0553"/>
    <s v="Premalu 553"/>
    <s v="Romance"/>
    <s v="Hindi"/>
    <s v="Disney+"/>
    <d v="1905-07-15T00:00:00"/>
    <s v="MARCH"/>
    <n v="87"/>
    <n v="7.1"/>
    <n v="870793"/>
    <n v="1194.2"/>
    <s v="Rajkumar Hirani"/>
    <s v="RYAN GOSLING"/>
    <s v="PG"/>
    <s v="Sci-Fi"/>
  </r>
  <r>
    <s v="M0238"/>
    <s v="Frozen II 238"/>
    <s v="Thriller"/>
    <s v="English"/>
    <s v="Disney+"/>
    <d v="1905-07-17T00:00:00"/>
    <s v="MAY"/>
    <n v="96"/>
    <n v="8.3000000000000007"/>
    <n v="673845"/>
    <n v="279.18"/>
    <s v="Vetrimaaran"/>
    <s v="FAHADH FAASIL"/>
    <s v="U"/>
    <s v="Sci-Fi"/>
  </r>
  <r>
    <s v="M0190"/>
    <s v="John Wick 4 190"/>
    <s v="Action"/>
    <s v="English"/>
    <s v="Lionsgate+"/>
    <d v="1905-07-14T00:00:00"/>
    <s v="AUGUST"/>
    <n v="106"/>
    <n v="6.3"/>
    <n v="87486"/>
    <n v="872.15"/>
    <s v="S.S. Rajamouli"/>
    <s v="LEONARDO DICAPRIO"/>
    <s v="U/A"/>
    <s v="Sci-Fi"/>
  </r>
  <r>
    <s v="M0492"/>
    <s v="Get Out 492"/>
    <s v="Horror"/>
    <s v="English"/>
    <s v="Netflix"/>
    <d v="1905-07-07T00:00:00"/>
    <s v="NOVEMBER"/>
    <n v="175"/>
    <n v="6.4"/>
    <n v="542100"/>
    <n v="1007.37"/>
    <s v="Martin Scorsese"/>
    <s v="SHAH RUKH KHAN"/>
    <s v="18"/>
    <s v="Adventure"/>
  </r>
  <r>
    <s v="M0585"/>
    <s v="Coco 585"/>
    <s v="Horror"/>
    <s v="English"/>
    <s v="Disney+"/>
    <d v="1905-07-08T00:00:00"/>
    <s v="MAY"/>
    <n v="141"/>
    <n v="6.7"/>
    <n v="43941"/>
    <n v="582.39"/>
    <s v="Mani Ratnam"/>
    <s v="SHAH RUKH KHAN"/>
    <s v="PG-13"/>
    <s v="Mystery"/>
  </r>
  <r>
    <s v="M0550"/>
    <s v="The Notebook 550"/>
    <s v="Romance"/>
    <s v="Korean"/>
    <s v="Amazon Prime"/>
    <d v="1905-07-16T00:00:00"/>
    <s v="MARCH"/>
    <n v="182"/>
    <n v="8.3000000000000007"/>
    <n v="146051"/>
    <n v="494.51"/>
    <s v="Martin Scorsese"/>
    <s v="SHAH RUKH KHAN"/>
    <s v="R"/>
    <s v="Action"/>
  </r>
  <r>
    <s v="M0258"/>
    <s v="12th Fail 258"/>
    <s v="Drama"/>
    <s v="Hindi"/>
    <s v="Hulu"/>
    <d v="1905-07-17T00:00:00"/>
    <s v="JANUARY"/>
    <n v="85"/>
    <n v="7.6"/>
    <n v="474812"/>
    <n v="412"/>
    <s v="Denis Villeneuve"/>
    <s v="FAHADH FAASIL"/>
    <s v="R"/>
    <s v="Action"/>
  </r>
  <r>
    <s v="M0298"/>
    <s v="Shutter Island 298"/>
    <s v="Mystery"/>
    <s v="English"/>
    <s v="Paramount+"/>
    <d v="1905-07-16T00:00:00"/>
    <s v="AUGUST"/>
    <n v="127"/>
    <n v="5.8"/>
    <n v="375286"/>
    <n v="175.48"/>
    <s v="S.S. Rajamouli"/>
    <s v="MOHANLAL"/>
    <s v="PG"/>
    <s v="Animation"/>
  </r>
  <r>
    <s v="M0194"/>
    <s v="Knives Out 194"/>
    <s v="Mystery"/>
    <s v="Telugu"/>
    <s v="Netflix"/>
    <d v="1905-07-11T00:00:00"/>
    <s v="SEPTEMBER"/>
    <n v="171"/>
    <n v="6.3"/>
    <n v="855579"/>
    <n v="185.76"/>
    <s v="Lijo Jose Pellissery"/>
    <s v="LEONARDO DICAPRIO"/>
    <s v="R"/>
    <s v="Mystery"/>
  </r>
  <r>
    <s v="M0409"/>
    <s v="Manjummel Boys 409"/>
    <s v="Crime"/>
    <s v="Malayalam"/>
    <s v="Peacock"/>
    <d v="1905-07-12T00:00:00"/>
    <s v="FEBRUARY"/>
    <n v="159"/>
    <n v="9.3000000000000007"/>
    <n v="424631"/>
    <n v="1381.87"/>
    <s v="Vetrimaaran"/>
    <s v="RYAN GOSLING"/>
    <s v="U"/>
    <s v="Romance"/>
  </r>
  <r>
    <s v="M0349"/>
    <s v="La La Land 349"/>
    <s v="Romance"/>
    <s v="English"/>
    <s v="Netflix"/>
    <d v="1905-07-12T00:00:00"/>
    <s v="SEPTEMBER"/>
    <n v="185"/>
    <n v="6.8"/>
    <n v="935915"/>
    <n v="231.89"/>
    <s v="Vetrimaaran"/>
    <s v="VIJAY"/>
    <s v="U"/>
    <s v="Thriller"/>
  </r>
  <r>
    <s v="M0039"/>
    <s v="Top Gun: Maverick"/>
    <s v="Thriller"/>
    <s v="English"/>
    <s v="Peacock"/>
    <d v="1905-07-15T00:00:00"/>
    <s v="DECEMBER"/>
    <n v="179"/>
    <n v="6.2"/>
    <n v="232051"/>
    <n v="323.54000000000002"/>
    <s v="Christopher Nolan"/>
    <s v="DHANUSH"/>
    <s v="18"/>
    <s v="Romance"/>
  </r>
  <r>
    <s v="M0498"/>
    <s v="Shutter Island 498"/>
    <s v="Fantasy"/>
    <s v="English"/>
    <s v="HBO Max"/>
    <d v="1905-07-13T00:00:00"/>
    <s v="APRIL"/>
    <n v="103"/>
    <n v="6.4"/>
    <n v="112802"/>
    <n v="331.64"/>
    <s v="Anurag Kashyap"/>
    <s v="ALIA BHATT"/>
    <s v="U"/>
    <s v="Drama"/>
  </r>
  <r>
    <s v="M0108"/>
    <s v="12th Fail 108"/>
    <s v="Comedy"/>
    <s v="Hindi"/>
    <s v="HBO Max"/>
    <d v="1905-07-14T00:00:00"/>
    <s v="JUNE"/>
    <n v="88"/>
    <n v="7.1"/>
    <n v="435850"/>
    <n v="63.33"/>
    <s v="Anurag Kashyap"/>
    <s v="MOHANLAL"/>
    <s v="U/A"/>
    <s v="Sci-Fi"/>
  </r>
  <r>
    <s v="M0286"/>
    <s v="Inside Out 286"/>
    <s v="Animation"/>
    <s v="French"/>
    <s v="Disney+"/>
    <d v="1905-07-07T00:00:00"/>
    <s v="JULY"/>
    <n v="120"/>
    <n v="6.5"/>
    <n v="584435"/>
    <n v="126.84"/>
    <s v="Christopher Nolan"/>
    <s v="RAJINIKANTH"/>
    <s v="18"/>
    <s v="Animation"/>
  </r>
  <r>
    <s v="M0082"/>
    <s v="Avengers: Endgame 82"/>
    <s v="Comedy"/>
    <s v="English"/>
    <s v="HBO Max"/>
    <d v="1905-07-16T00:00:00"/>
    <s v="JUNE"/>
    <n v="87"/>
    <n v="7.2"/>
    <n v="183510"/>
    <n v="111.84"/>
    <s v="Greta Gerwig"/>
    <s v="MAMMOOTTY"/>
    <s v="PG-13"/>
    <s v="Romance"/>
  </r>
  <r>
    <s v="M0126"/>
    <s v="Jigarthanda DoubleX 126"/>
    <s v="Action"/>
    <s v="Tamil"/>
    <s v="Netflix"/>
    <d v="1905-07-17T00:00:00"/>
    <s v="MARCH"/>
    <n v="160"/>
    <n v="7"/>
    <n v="609651"/>
    <n v="209.79"/>
    <s v="Zoya Akhtar"/>
    <s v="LEONARDO DICAPRIO"/>
    <s v="U"/>
    <s v="Thriller"/>
  </r>
  <r>
    <s v="M0471"/>
    <s v="3 Idiots 471"/>
    <s v="Action"/>
    <s v="Hindi"/>
    <s v="Netflix"/>
    <d v="1905-07-12T00:00:00"/>
    <s v="MARCH"/>
    <n v="189"/>
    <n v="5.0999999999999996"/>
    <n v="549332"/>
    <n v="591.66"/>
    <s v="Christopher Nolan"/>
    <s v="MAMMOOTTY"/>
    <s v="U/A"/>
    <s v="Action"/>
  </r>
  <r>
    <s v="M0421"/>
    <s v="3 Idiots 421"/>
    <s v="Comedy"/>
    <s v="English"/>
    <s v="Netflix"/>
    <d v="1905-07-14T00:00:00"/>
    <s v="JULY"/>
    <n v="171"/>
    <n v="6.8"/>
    <n v="43810"/>
    <n v="114.01"/>
    <s v="Zoya Akhtar"/>
    <s v="SURIYA"/>
    <s v="18"/>
    <s v="Horror"/>
  </r>
  <r>
    <s v="M0184"/>
    <s v="Toy Story 4 184"/>
    <s v="Animation"/>
    <s v="English"/>
    <s v="Disney+"/>
    <d v="1905-07-08T00:00:00"/>
    <s v="JANUARY"/>
    <n v="128"/>
    <n v="7.7"/>
    <n v="680245"/>
    <n v="179.39"/>
    <s v="Greta Gerwig"/>
    <s v="FAHADH FAASIL"/>
    <s v="U/A"/>
    <s v="Horror"/>
  </r>
  <r>
    <s v="M0247"/>
    <s v="Gone Girl 247"/>
    <s v="Mystery"/>
    <s v="English"/>
    <s v="Netflix"/>
    <d v="1905-07-15T00:00:00"/>
    <s v="JULY"/>
    <n v="102"/>
    <n v="7.4"/>
    <n v="597096"/>
    <n v="19.2"/>
    <s v="Zoya Akhtar"/>
    <s v="LEONARDO DICAPRIO"/>
    <s v="U"/>
    <s v="Romance"/>
  </r>
  <r>
    <s v="M0206"/>
    <s v="Kantara 206"/>
    <s v="Drama"/>
    <s v="Hindi"/>
    <s v="Amazon Prime"/>
    <d v="1905-07-08T00:00:00"/>
    <s v="JANUARY"/>
    <n v="118"/>
    <n v="7.1"/>
    <n v="227022"/>
    <n v="14.32"/>
    <s v="Greta Gerwig"/>
    <s v="DULQUER SALMAAN"/>
    <s v="R"/>
    <s v="Drama"/>
  </r>
  <r>
    <s v="M0268"/>
    <s v="Inception 268"/>
    <s v="Sci-Fi"/>
    <s v="English"/>
    <s v="HBO Max"/>
    <d v="1905-07-08T00:00:00"/>
    <s v="JUNE"/>
    <n v="189"/>
    <n v="6.5"/>
    <n v="360170"/>
    <n v="165.02"/>
    <s v="S.S. Rajamouli"/>
    <s v="DHANUSH"/>
    <s v="R"/>
    <s v="Mystery"/>
  </r>
  <r>
    <s v="M0050"/>
    <s v="The Notebook"/>
    <s v="Romance"/>
    <s v="English"/>
    <s v="Amazon Prime"/>
    <d v="1905-07-08T00:00:00"/>
    <s v="DECEMBER"/>
    <n v="153"/>
    <n v="6.8"/>
    <n v="800013"/>
    <n v="360.75"/>
    <s v="S.S. Rajamouli"/>
    <s v="CHRISTIAN BALE"/>
    <s v="PG"/>
    <s v="Mystery"/>
  </r>
  <r>
    <s v="M0537"/>
    <s v="Zootopia 537"/>
    <s v="Animation"/>
    <s v="Spanish"/>
    <s v="Netflix"/>
    <d v="1905-07-10T00:00:00"/>
    <s v="AUGUST"/>
    <n v="128"/>
    <n v="7.1"/>
    <n v="279737"/>
    <n v="552.71"/>
    <s v="Martin Scorsese"/>
    <s v="RANBIR KAPOOR"/>
    <s v="R"/>
    <s v="Crime"/>
  </r>
  <r>
    <s v="M0587"/>
    <s v="Zootopia 587"/>
    <s v="Animation"/>
    <s v="English"/>
    <s v="Amazon Prime"/>
    <d v="1905-07-08T00:00:00"/>
    <s v="FEBRUARY"/>
    <n v="131"/>
    <n v="7.7"/>
    <n v="206998"/>
    <n v="419.37"/>
    <s v="Jeethu Joseph"/>
    <s v="VIJAY"/>
    <s v="PG"/>
    <s v="Romance"/>
  </r>
  <r>
    <s v="M0540"/>
    <s v="John Wick 4 540"/>
    <s v="Action"/>
    <s v="French"/>
    <s v="Hulu"/>
    <d v="1905-07-12T00:00:00"/>
    <s v="JANUARY"/>
    <n v="190"/>
    <n v="7.1"/>
    <n v="294171"/>
    <n v="1101.4000000000001"/>
    <s v="Bong Joon Ho"/>
    <s v="DHANUSH"/>
    <s v="18"/>
    <s v="Thriller"/>
  </r>
  <r>
    <s v="M0068"/>
    <s v="Inception 68"/>
    <s v="Sci-Fi"/>
    <s v="English"/>
    <s v="HBO Max"/>
    <d v="1905-07-11T00:00:00"/>
    <s v="APRIL"/>
    <n v="180"/>
    <n v="6.2"/>
    <n v="95569"/>
    <n v="160"/>
    <s v="Mani Ratnam"/>
    <s v="FAHADH FAASIL"/>
    <s v="U"/>
    <s v="Fantasy"/>
  </r>
  <r>
    <s v="M0559"/>
    <s v="Manjummel Boys 559"/>
    <s v="Adventure"/>
    <s v="Malayalam"/>
    <s v="Apple TV+"/>
    <d v="1905-07-17T00:00:00"/>
    <s v="MARCH"/>
    <n v="85"/>
    <n v="8.8000000000000007"/>
    <n v="287378"/>
    <n v="965.42"/>
    <s v="Vetrimaaran"/>
    <s v="PRABHAS"/>
    <s v="R"/>
    <s v="Comedy"/>
  </r>
  <r>
    <s v="M0346"/>
    <s v="The Menu 346"/>
    <s v="Animation"/>
    <s v="English"/>
    <s v="Hulu"/>
    <d v="1905-07-09T00:00:00"/>
    <s v="NOVEMBER"/>
    <n v="178"/>
    <n v="6.5"/>
    <n v="45035"/>
    <n v="836.78"/>
    <s v="S.S. Rajamouli"/>
    <s v="ROBERT DOWNEY JR."/>
    <s v="U/A"/>
    <s v="Animation"/>
  </r>
  <r>
    <s v="M0331"/>
    <s v="The Shawshank Redemption 331"/>
    <s v="Drama"/>
    <s v="English"/>
    <s v="HBO Max"/>
    <d v="1905-07-09T00:00:00"/>
    <s v="JANUARY"/>
    <n v="112"/>
    <n v="7.5"/>
    <n v="661258"/>
    <n v="149.81"/>
    <s v="Vetrimaaran"/>
    <s v="NANI"/>
    <s v="15"/>
    <s v="Comedy"/>
  </r>
  <r>
    <s v="M0343"/>
    <s v="A Quiet Place 343"/>
    <s v="Horror"/>
    <s v="English"/>
    <s v="Paramount+"/>
    <d v="1905-07-08T00:00:00"/>
    <s v="MAY"/>
    <n v="119"/>
    <n v="7.8"/>
    <n v="9402"/>
    <n v="108.1"/>
    <s v="Jeethu Joseph"/>
    <s v="RAJINIKANTH"/>
    <s v="PG"/>
    <s v="Action"/>
  </r>
  <r>
    <s v="M0162"/>
    <s v="Barbie 162"/>
    <s v="Animation"/>
    <s v="English"/>
    <s v="Paramount+"/>
    <d v="1905-07-12T00:00:00"/>
    <s v="APRIL"/>
    <n v="132"/>
    <n v="7.5"/>
    <n v="328922"/>
    <n v="478.14"/>
    <s v="Bong Joon Ho"/>
    <s v="VIJAY"/>
    <s v="PG"/>
    <s v="Action"/>
  </r>
  <r>
    <s v="M0002"/>
    <s v="Jawan"/>
    <s v="Action"/>
    <s v="Hindi"/>
    <s v="Netflix"/>
    <d v="1905-07-15T00:00:00"/>
    <s v="JULY"/>
    <n v="113"/>
    <n v="7.9"/>
    <n v="471829"/>
    <n v="921.9"/>
    <s v="Alfonso Cuarón"/>
    <s v="FAHADH FAASIL"/>
    <s v="PG"/>
    <s v="Comedy"/>
  </r>
  <r>
    <s v="M0308"/>
    <s v="12th Fail 308"/>
    <s v="Drama"/>
    <s v="Hindi"/>
    <s v="Disney+"/>
    <d v="1905-07-09T00:00:00"/>
    <s v="NOVEMBER"/>
    <n v="150"/>
    <n v="7.5"/>
    <n v="41894"/>
    <n v="397.69"/>
    <s v="S.S. Rajamouli"/>
    <s v="FAHADH FAASIL"/>
    <s v="PG-13"/>
    <s v="Animation"/>
  </r>
  <r>
    <s v="M0514"/>
    <s v="Vikram 514"/>
    <s v="Action"/>
    <s v="Tamil"/>
    <s v="Disney+"/>
    <d v="1905-07-11T00:00:00"/>
    <s v="MARCH"/>
    <n v="175"/>
    <n v="8.6999999999999993"/>
    <n v="490624"/>
    <n v="823.18"/>
    <s v="Christopher Nolan"/>
    <s v="SHAH RUKH KHAN"/>
    <s v="18"/>
    <s v="Mystery"/>
  </r>
  <r>
    <s v="M0228"/>
    <s v="Ustad Hotel 228"/>
    <s v="Drama"/>
    <s v="Malayalam"/>
    <s v="Netflix"/>
    <d v="1905-07-07T00:00:00"/>
    <s v="SEPTEMBER"/>
    <n v="146"/>
    <n v="5.5"/>
    <n v="1516"/>
    <n v="414.16"/>
    <s v="Vetrimaaran"/>
    <s v="FAHADH FAASIL"/>
    <s v="U"/>
    <s v="Drama"/>
  </r>
  <r>
    <s v="M0508"/>
    <s v="12th Fail 508"/>
    <s v="Thriller"/>
    <s v="Hindi"/>
    <s v="Disney+"/>
    <d v="1905-07-09T00:00:00"/>
    <s v="JULY"/>
    <n v="111"/>
    <n v="7.9"/>
    <n v="630032"/>
    <n v="350.58"/>
    <s v="Anurag Kashyap"/>
    <s v="FAHADH FAASIL"/>
    <s v="R"/>
    <s v="Sci-Fi"/>
  </r>
  <r>
    <s v="M0589"/>
    <s v="Top Gun: Maverick 589"/>
    <s v="Romance"/>
    <s v="English"/>
    <s v="Paramount+"/>
    <d v="1905-07-15T00:00:00"/>
    <s v="AUGUST"/>
    <n v="177"/>
    <n v="7.5"/>
    <n v="90847"/>
    <n v="163.94"/>
    <s v="Jeethu Joseph"/>
    <s v="SHAH RUKH KHAN"/>
    <s v="R"/>
    <s v="Romance"/>
  </r>
  <r>
    <s v="M0353"/>
    <s v="Premalu 353"/>
    <s v="Romance"/>
    <s v="Malayalam"/>
    <s v="Disney+"/>
    <d v="1905-07-09T00:00:00"/>
    <s v="JANUARY"/>
    <n v="110"/>
    <n v="7.6"/>
    <n v="34162"/>
    <n v="919.56"/>
    <s v="Greta Gerwig"/>
    <s v="ALIA BHATT"/>
    <s v="PG"/>
    <s v="Animation"/>
  </r>
  <r>
    <s v="M0296"/>
    <s v="The Menu 296"/>
    <s v="Thriller"/>
    <s v="English"/>
    <s v="HBO Max"/>
    <d v="1905-07-15T00:00:00"/>
    <s v="FEBRUARY"/>
    <n v="124"/>
    <n v="7.1"/>
    <n v="221056"/>
    <n v="1285.6300000000001"/>
    <s v="Jeethu Joseph"/>
    <s v="SURIYA"/>
    <s v="U/A"/>
    <s v="Animation"/>
  </r>
  <r>
    <s v="M0531"/>
    <s v="The Shawshank Redemption 531"/>
    <s v="Drama"/>
    <s v="English"/>
    <s v="HBO Max"/>
    <d v="1905-07-10T00:00:00"/>
    <s v="OCTOBER"/>
    <n v="172"/>
    <n v="6.7"/>
    <n v="884190"/>
    <n v="706.49"/>
    <s v="Bong Joon Ho"/>
    <s v="DHANUSH"/>
    <s v="R"/>
    <s v="Action"/>
  </r>
  <r>
    <s v="M0006"/>
    <s v="Kantara"/>
    <s v="Drama"/>
    <s v="French"/>
    <s v="Amazon Prime"/>
    <d v="1905-07-12T00:00:00"/>
    <s v="JANUARY"/>
    <n v="114"/>
    <n v="6.2"/>
    <n v="862522"/>
    <n v="29.02"/>
    <s v="Rajkumar Hirani"/>
    <s v="PRABHAS"/>
    <s v="18"/>
    <s v="Sci-Fi"/>
  </r>
  <r>
    <s v="M0304"/>
    <s v="Drishyam 2 304"/>
    <s v="Thriller"/>
    <s v="Malayalam"/>
    <s v="Amazon Prime"/>
    <d v="1905-07-07T00:00:00"/>
    <s v="NOVEMBER"/>
    <n v="111"/>
    <n v="8"/>
    <n v="543842"/>
    <n v="731.41"/>
    <s v="Lijo Jose Pellissery"/>
    <s v="SHAH RUKH KHAN"/>
    <s v="U"/>
    <s v="Adventure"/>
  </r>
  <r>
    <s v="M0207"/>
    <s v="RRR 207"/>
    <s v="Action"/>
    <s v="Telugu"/>
    <s v="Netflix"/>
    <d v="1905-07-15T00:00:00"/>
    <s v="SEPTEMBER"/>
    <n v="163"/>
    <n v="7.4"/>
    <n v="83660"/>
    <n v="278.39"/>
    <s v="Greta Gerwig"/>
    <s v="RAJINIKANTH"/>
    <s v="15"/>
    <s v="Animation"/>
  </r>
  <r>
    <s v="M0221"/>
    <s v="3 Idiots 221"/>
    <s v="Drama"/>
    <s v="Hindi"/>
    <s v="HBO Max"/>
    <d v="1905-07-09T00:00:00"/>
    <s v="APRIL"/>
    <n v="190"/>
    <n v="6.3"/>
    <n v="676801"/>
    <n v="107.96"/>
    <s v="Christopher Nolan"/>
    <s v="MOHANLAL"/>
    <s v="18"/>
    <s v="Animation"/>
  </r>
  <r>
    <s v="M0154"/>
    <s v="Drishyam 2 154"/>
    <s v="Thriller"/>
    <s v="Malayalam"/>
    <s v="Amazon Prime"/>
    <d v="1905-07-15T00:00:00"/>
    <s v="JULY"/>
    <n v="153"/>
    <n v="6.6"/>
    <n v="398500"/>
    <n v="506.88"/>
    <s v="Lokesh Kanagaraj"/>
    <s v="ALIA BHATT"/>
    <s v="18"/>
    <s v="Drama"/>
  </r>
  <r>
    <s v="M0065"/>
    <s v="Kumbalangi Nights 65"/>
    <s v="Drama"/>
    <s v="Malayalam"/>
    <s v="Peacock"/>
    <d v="1905-07-14T00:00:00"/>
    <s v="JUNE"/>
    <n v="109"/>
    <n v="7.8"/>
    <n v="402374"/>
    <n v="359.29"/>
    <s v="Vetrimaaran"/>
    <s v="ROBERT DOWNEY JR."/>
    <s v="PG-13"/>
    <s v="Horror"/>
  </r>
  <r>
    <s v="M0282"/>
    <s v="Avengers: Endgame 282"/>
    <s v="Action"/>
    <s v="English"/>
    <s v="Disney+"/>
    <d v="1905-07-13T00:00:00"/>
    <s v="MARCH"/>
    <n v="91"/>
    <n v="6.3"/>
    <n v="703612"/>
    <n v="41.52"/>
    <s v="S.S. Rajamouli"/>
    <s v="ALIA BHATT"/>
    <s v="R"/>
    <s v="Animation"/>
  </r>
  <r>
    <s v="M0435"/>
    <s v="Coco 435"/>
    <s v="Animation"/>
    <s v="Tamil"/>
    <s v="SonyLIV"/>
    <d v="1905-07-09T00:00:00"/>
    <s v="JUNE"/>
    <n v="93"/>
    <n v="7.5"/>
    <n v="436120"/>
    <n v="143.21"/>
    <s v="Mani Ratnam"/>
    <s v="RANBIR KAPOOR"/>
    <s v="U"/>
    <s v="Action"/>
  </r>
  <r>
    <s v="M0009"/>
    <s v="Manjummel Boys"/>
    <s v="Adventure"/>
    <s v="English"/>
    <s v="Disney+"/>
    <d v="1905-07-08T00:00:00"/>
    <s v="NOVEMBER"/>
    <n v="153"/>
    <n v="7.2"/>
    <n v="357499"/>
    <n v="110.13"/>
    <s v="Christopher Nolan"/>
    <s v="ALIA BHATT"/>
    <s v="R"/>
    <s v="Drama"/>
  </r>
  <r>
    <s v="M0034"/>
    <s v="Toy Story 4"/>
    <s v="Drama"/>
    <s v="English"/>
    <s v="SonyLIV"/>
    <d v="1905-07-10T00:00:00"/>
    <s v="DECEMBER"/>
    <n v="174"/>
    <n v="7"/>
    <n v="403430"/>
    <n v="303.39"/>
    <s v="Lijo Jose Pellissery"/>
    <s v="MAMMOOTTY"/>
    <s v="U/A"/>
    <s v="Action"/>
  </r>
  <r>
    <s v="M0122"/>
    <s v="Dangal 122"/>
    <s v="Drama"/>
    <s v="Malayalam"/>
    <s v="Amazon Prime"/>
    <d v="1905-07-17T00:00:00"/>
    <s v="MARCH"/>
    <n v="186"/>
    <n v="8.1999999999999993"/>
    <n v="379852"/>
    <n v="206.75"/>
    <s v="Alfonso Cuarón"/>
    <s v="VIJAY"/>
    <s v="R"/>
    <s v="Drama"/>
  </r>
  <r>
    <s v="M0323"/>
    <s v="Bahubali 2 323"/>
    <s v="Action"/>
    <s v="Telugu"/>
    <s v="Netflix"/>
    <d v="1905-07-17T00:00:00"/>
    <s v="APRIL"/>
    <n v="171"/>
    <n v="6.8"/>
    <n v="433259"/>
    <n v="1018.07"/>
    <s v="Bong Joon Ho"/>
    <s v="ALIA BHATT"/>
    <s v="PG"/>
    <s v="Thriller"/>
  </r>
  <r>
    <s v="M0511"/>
    <s v="Oppenheimer 511"/>
    <s v="Mystery"/>
    <s v="English"/>
    <s v="Netflix"/>
    <d v="1905-07-11T00:00:00"/>
    <s v="SEPTEMBER"/>
    <n v="164"/>
    <n v="5.7"/>
    <n v="704669"/>
    <n v="684.74"/>
    <s v="Denis Villeneuve"/>
    <s v="FAHADH FAASIL"/>
    <s v="U/A"/>
    <s v="Romance"/>
  </r>
  <r>
    <s v="M0182"/>
    <s v="Avengers: Endgame 182"/>
    <s v="Action"/>
    <s v="English"/>
    <s v="Disney+"/>
    <d v="1905-07-15T00:00:00"/>
    <s v="SEPTEMBER"/>
    <n v="159"/>
    <n v="8.3000000000000007"/>
    <n v="721868"/>
    <n v="547.79"/>
    <s v="Mani Ratnam"/>
    <s v="CHRISTIAN BALE"/>
    <s v="PG"/>
    <s v="Romance"/>
  </r>
  <r>
    <s v="M0410"/>
    <s v="The Batman 410"/>
    <s v="Action"/>
    <s v="Kannada"/>
    <s v="HBO Max"/>
    <d v="1905-07-11T00:00:00"/>
    <s v="JANUARY"/>
    <n v="115"/>
    <n v="7.3"/>
    <n v="453486"/>
    <n v="606.24"/>
    <s v="Bong Joon Ho"/>
    <s v="DHANUSH"/>
    <s v="PG-13"/>
    <s v="Thriller"/>
  </r>
  <r>
    <s v="M0064"/>
    <s v="Vikram 64"/>
    <s v="Action"/>
    <s v="Tamil"/>
    <s v="Hulu"/>
    <d v="1905-07-15T00:00:00"/>
    <s v="MAY"/>
    <n v="190"/>
    <n v="7.6"/>
    <n v="3489"/>
    <n v="202.02"/>
    <s v="Zoya Akhtar"/>
    <s v="VIJAY"/>
    <s v="15"/>
    <s v="Drama"/>
  </r>
  <r>
    <s v="M0113"/>
    <s v="Pathaan 113"/>
    <s v="Action"/>
    <s v="Hindi"/>
    <s v="Amazon Prime"/>
    <d v="1905-07-08T00:00:00"/>
    <s v="OCTOBER"/>
    <n v="179"/>
    <n v="7.2"/>
    <n v="370212"/>
    <n v="858.88"/>
    <s v="Zoya Akhtar"/>
    <s v="SHAH RUKH KHAN"/>
    <s v="18"/>
    <s v="Drama"/>
  </r>
  <r>
    <s v="M0161"/>
    <s v="Oppenheimer 161"/>
    <s v="Drama"/>
    <s v="English"/>
    <s v="HBO Max"/>
    <d v="1905-07-16T00:00:00"/>
    <s v="DECEMBER"/>
    <n v="111"/>
    <n v="6.8"/>
    <n v="338037"/>
    <n v="651.09"/>
    <s v="S.S. Rajamouli"/>
    <s v="ALIA BHATT"/>
    <s v="15"/>
    <s v="Thriller"/>
  </r>
  <r>
    <s v="M0597"/>
    <s v="Gone Girl 597"/>
    <s v="Comedy"/>
    <s v="English"/>
    <s v="Netflix"/>
    <d v="1905-07-16T00:00:00"/>
    <s v="DECEMBER"/>
    <n v="140"/>
    <n v="5.6"/>
    <n v="193155"/>
    <n v="252.35"/>
    <s v="Jeethu Joseph"/>
    <s v="FAHADH FAASIL"/>
    <s v="18"/>
    <s v="Action"/>
  </r>
  <r>
    <s v="M0417"/>
    <s v="Interstellar 417"/>
    <s v="Sci-Fi"/>
    <s v="English"/>
    <s v="Netflix"/>
    <d v="1905-07-11T00:00:00"/>
    <s v="DECEMBER"/>
    <n v="164"/>
    <n v="8.1"/>
    <n v="133781"/>
    <n v="828.63"/>
    <s v="S.S. Rajamouli"/>
    <s v="VIJAY"/>
    <s v="PG"/>
    <s v="Drama"/>
  </r>
  <r>
    <s v="M0287"/>
    <s v="Zootopia 287"/>
    <s v="Action"/>
    <s v="English"/>
    <s v="Disney+"/>
    <d v="1905-07-07T00:00:00"/>
    <s v="NOVEMBER"/>
    <n v="163"/>
    <n v="7.6"/>
    <n v="829078"/>
    <n v="460.74"/>
    <s v="Greta Gerwig"/>
    <s v="RANBIR KAPOOR"/>
    <s v="15"/>
    <s v="Thriller"/>
  </r>
  <r>
    <s v="M0389"/>
    <s v="Top Gun: Maverick 389"/>
    <s v="Action"/>
    <s v="English"/>
    <s v="Paramount+"/>
    <d v="1905-07-16T00:00:00"/>
    <s v="DECEMBER"/>
    <n v="165"/>
    <n v="6.9"/>
    <n v="760046"/>
    <n v="1219.3900000000001"/>
    <s v="Anurag Kashyap"/>
    <s v="RAJINIKANTH"/>
    <s v="15"/>
    <s v="Drama"/>
  </r>
  <r>
    <s v="M0484"/>
    <s v="Toy Story 4 484"/>
    <s v="Animation"/>
    <s v="English"/>
    <s v="Disney+"/>
    <d v="1905-07-11T00:00:00"/>
    <s v="DECEMBER"/>
    <n v="106"/>
    <n v="7.3"/>
    <n v="516153"/>
    <n v="314.83999999999997"/>
    <s v="Mani Ratnam"/>
    <s v="MAMMOOTTY"/>
    <s v="18"/>
    <s v="Action"/>
  </r>
  <r>
    <s v="M0236"/>
    <s v="Inside Out 236"/>
    <s v="Animation"/>
    <s v="English"/>
    <s v="Disney+"/>
    <d v="1905-07-15T00:00:00"/>
    <s v="DECEMBER"/>
    <n v="178"/>
    <n v="9.1"/>
    <n v="567162"/>
    <n v="182.1"/>
    <s v="Rajkumar Hirani"/>
    <s v="LEONARDO DICAPRIO"/>
    <s v="15"/>
    <s v="Animation"/>
  </r>
  <r>
    <s v="M0326"/>
    <s v="Jigarthanda DoubleX 326"/>
    <s v="Horror"/>
    <s v="Tamil"/>
    <s v="Netflix"/>
    <d v="1905-07-16T00:00:00"/>
    <s v="MAY"/>
    <n v="147"/>
    <n v="6.6"/>
    <n v="192555"/>
    <n v="1707.46"/>
    <s v="Anurag Kashyap"/>
    <s v="RANBIR KAPOOR"/>
    <s v="U/A"/>
    <s v="Adventure"/>
  </r>
  <r>
    <s v="M0134"/>
    <s v="Toy Story 4 134"/>
    <s v="Animation"/>
    <s v="English"/>
    <s v="Disney+"/>
    <d v="1905-07-14T00:00:00"/>
    <s v="MARCH"/>
    <n v="162"/>
    <n v="6.5"/>
    <n v="937316"/>
    <n v="389.21"/>
    <s v="Lokesh Kanagaraj"/>
    <s v="DHANUSH"/>
    <s v="18"/>
    <s v="Drama"/>
  </r>
  <r>
    <s v="M0385"/>
    <s v="Coco 385"/>
    <s v="Action"/>
    <s v="English"/>
    <s v="Disney+"/>
    <d v="1905-07-14T00:00:00"/>
    <s v="AUGUST"/>
    <n v="148"/>
    <n v="7.1"/>
    <n v="926381"/>
    <n v="280.23"/>
    <s v="Mani Ratnam"/>
    <s v="SURIYA"/>
    <s v="U"/>
    <s v="Drama"/>
  </r>
  <r>
    <s v="M0465"/>
    <s v="Kumbalangi Nights 465"/>
    <s v="Drama"/>
    <s v="Malayalam"/>
    <s v="Netflix"/>
    <d v="1905-07-07T00:00:00"/>
    <s v="MARCH"/>
    <n v="118"/>
    <n v="6.9"/>
    <n v="668282"/>
    <n v="617.47"/>
    <s v="Anurag Kashyap"/>
    <s v="FAHADH FAASIL"/>
    <s v="18"/>
    <s v="Action"/>
  </r>
  <r>
    <s v="M0138"/>
    <s v="Frozen II 138"/>
    <s v="Animation"/>
    <s v="Spanish"/>
    <s v="Disney+"/>
    <d v="1905-07-12T00:00:00"/>
    <s v="MARCH"/>
    <n v="143"/>
    <n v="6.5"/>
    <n v="559824"/>
    <n v="275.8"/>
    <s v="Denis Villeneuve"/>
    <s v="ROBERT DOWNEY JR."/>
    <s v="U/A"/>
    <s v="Mystery"/>
  </r>
  <r>
    <s v="M0029"/>
    <s v="The Dark Knight"/>
    <s v="Thriller"/>
    <s v="English"/>
    <s v="HBO Max"/>
    <d v="1905-07-12T00:00:00"/>
    <s v="DECEMBER"/>
    <n v="185"/>
    <n v="6.8"/>
    <n v="537065"/>
    <n v="209.44"/>
    <s v="S.S. Rajamouli"/>
    <s v="LEONARDO DICAPRIO"/>
    <s v="U"/>
    <s v="Action"/>
  </r>
  <r>
    <s v="M0469"/>
    <s v="Parasite 469"/>
    <s v="Thriller"/>
    <s v="Korean"/>
    <s v="Hulu"/>
    <d v="1905-07-16T00:00:00"/>
    <s v="JUNE"/>
    <n v="190"/>
    <n v="7.5"/>
    <n v="295887"/>
    <n v="382.65"/>
    <s v="Lijo Jose Pellissery"/>
    <s v="FAHADH FAASIL"/>
    <s v="U/A"/>
    <s v="Action"/>
  </r>
  <r>
    <s v="M0272"/>
    <s v="Dangal 272"/>
    <s v="Drama"/>
    <s v="French"/>
    <s v="Paramount+"/>
    <d v="1905-07-09T00:00:00"/>
    <s v="FEBRUARY"/>
    <n v="181"/>
    <n v="6.7"/>
    <n v="516330"/>
    <n v="245.95"/>
    <s v="Christopher Nolan"/>
    <s v="CHRISTIAN BALE"/>
    <s v="15"/>
    <s v="Action"/>
  </r>
  <r>
    <s v="M0241"/>
    <s v="The Conjuring 241"/>
    <s v="Comedy"/>
    <s v="English"/>
    <s v="Disney+"/>
    <d v="1905-07-09T00:00:00"/>
    <s v="APRIL"/>
    <n v="188"/>
    <n v="7.3"/>
    <n v="82975"/>
    <n v="918.47"/>
    <s v="Zoya Akhtar"/>
    <s v="ALIA BHATT"/>
    <s v="18"/>
    <s v="Action"/>
  </r>
  <r>
    <s v="M0476"/>
    <s v="Jigarthanda DoubleX 476"/>
    <s v="Animation"/>
    <s v="Tamil"/>
    <s v="Netflix"/>
    <d v="1905-07-14T00:00:00"/>
    <s v="NOVEMBER"/>
    <n v="98"/>
    <n v="7.7"/>
    <n v="190433"/>
    <n v="1541.46"/>
    <s v="Jeethu Joseph"/>
    <s v="CHRISTIAN BALE"/>
    <s v="PG-13"/>
    <s v="Action"/>
  </r>
  <r>
    <s v="M0249"/>
    <s v="La La Land 249"/>
    <s v="Romance"/>
    <s v="Japanese"/>
    <s v="Netflix"/>
    <d v="1905-07-12T00:00:00"/>
    <s v="MARCH"/>
    <n v="118"/>
    <n v="7.2"/>
    <n v="299716"/>
    <n v="9.98"/>
    <s v="Zoya Akhtar"/>
    <s v="RANBIR KAPOOR"/>
    <s v="18"/>
    <s v="Drama"/>
  </r>
  <r>
    <s v="M0292"/>
    <s v="Get Out 292"/>
    <s v="Drama"/>
    <s v="English"/>
    <s v="Netflix"/>
    <d v="1905-07-14T00:00:00"/>
    <s v="DECEMBER"/>
    <n v="127"/>
    <n v="7.6"/>
    <n v="40526"/>
    <n v="27.59"/>
    <s v="Greta Gerwig"/>
    <s v="MOHANLAL"/>
    <s v="R"/>
    <s v="Comedy"/>
  </r>
  <r>
    <s v="M0081"/>
    <s v="The Shawshank Redemption 81"/>
    <s v="Romance"/>
    <s v="English"/>
    <s v="HBO Max"/>
    <d v="1905-07-12T00:00:00"/>
    <s v="MARCH"/>
    <n v="185"/>
    <n v="7.2"/>
    <n v="900904"/>
    <n v="1824.74"/>
    <s v="Alfonso Cuarón"/>
    <s v="FAHADH FAASIL"/>
    <s v="18"/>
    <s v="Sci-Fi"/>
  </r>
  <r>
    <s v="M0310"/>
    <s v="The Batman 310"/>
    <s v="Mystery"/>
    <s v="English"/>
    <s v="HBO Max"/>
    <d v="1905-07-17T00:00:00"/>
    <s v="JUNE"/>
    <n v="143"/>
    <n v="8.1999999999999993"/>
    <n v="626310"/>
    <n v="347.38"/>
    <s v="Lokesh Kanagaraj"/>
    <s v="MAMMOOTTY"/>
    <s v="U/A"/>
    <s v="Action"/>
  </r>
  <r>
    <s v="M0561"/>
    <s v="Oppenheimer 561"/>
    <s v="Drama"/>
    <s v="English"/>
    <s v="Hulu"/>
    <d v="1905-07-17T00:00:00"/>
    <s v="MAY"/>
    <n v="181"/>
    <n v="7"/>
    <n v="695247"/>
    <n v="759.23"/>
    <s v="Denis Villeneuve"/>
    <s v="RAJINIKANTH"/>
    <s v="18"/>
    <s v="Action"/>
  </r>
  <r>
    <s v="M0483"/>
    <s v="Spider-Man: No Way Home 483"/>
    <s v="Action"/>
    <s v="English"/>
    <s v="Netflix"/>
    <d v="1905-07-12T00:00:00"/>
    <s v="SEPTEMBER"/>
    <n v="154"/>
    <n v="8.5"/>
    <n v="452113"/>
    <n v="352.04"/>
    <s v="Vetrimaaran"/>
    <s v="DHANUSH"/>
    <s v="PG-13"/>
    <s v="Animation"/>
  </r>
  <r>
    <s v="M0051"/>
    <s v="Leo 51"/>
    <s v="Romance"/>
    <s v="Tamil"/>
    <s v="Netflix"/>
    <d v="1905-07-11T00:00:00"/>
    <s v="JANUARY"/>
    <n v="175"/>
    <n v="6.6"/>
    <n v="57974"/>
    <n v="761.96"/>
    <s v="Martin Scorsese"/>
    <s v="ROBERT DOWNEY JR."/>
    <s v="R"/>
    <s v="Animation"/>
  </r>
  <r>
    <s v="M0275"/>
    <s v="Sita Ramam 275"/>
    <s v="Romance"/>
    <s v="Kannada"/>
    <s v="Amazon Prime"/>
    <d v="1905-07-16T00:00:00"/>
    <s v="OCTOBER"/>
    <n v="145"/>
    <n v="7.1"/>
    <n v="475314"/>
    <n v="178.27"/>
    <s v="Christopher Nolan"/>
    <s v="RAJINIKANTH"/>
    <s v="R"/>
    <s v="Horror"/>
  </r>
  <r>
    <s v="M0487"/>
    <s v="Zootopia 487"/>
    <s v="Sci-Fi"/>
    <s v="English"/>
    <s v="Disney+"/>
    <d v="1905-07-10T00:00:00"/>
    <s v="APRIL"/>
    <n v="167"/>
    <n v="7.1"/>
    <n v="722211"/>
    <n v="51.85"/>
    <s v="Lokesh Kanagaraj"/>
    <s v="TOM HOLLAND"/>
    <s v="PG"/>
    <s v="Animation"/>
  </r>
  <r>
    <s v="M0185"/>
    <s v="Coco 185"/>
    <s v="Animation"/>
    <s v="English"/>
    <s v="Disney+"/>
    <d v="1905-07-13T00:00:00"/>
    <s v="NOVEMBER"/>
    <n v="108"/>
    <n v="7.1"/>
    <n v="415598"/>
    <n v="45.41"/>
    <s v="Mani Ratnam"/>
    <s v="SURIYA"/>
    <s v="U"/>
    <s v="Action"/>
  </r>
  <r>
    <s v="M0316"/>
    <s v="Premam 316"/>
    <s v="Romance"/>
    <s v="Japanese"/>
    <s v="Amazon Prime"/>
    <d v="1905-07-13T00:00:00"/>
    <s v="DECEMBER"/>
    <n v="102"/>
    <n v="8.3000000000000007"/>
    <n v="897331"/>
    <n v="345.51"/>
    <s v="Mani Ratnam"/>
    <s v="FAHADH FAASIL"/>
    <s v="U/A"/>
    <s v="Drama"/>
  </r>
  <r>
    <s v="M0239"/>
    <s v="Top Gun: Maverick 239"/>
    <s v="Action"/>
    <s v="English"/>
    <s v="Paramount+"/>
    <d v="1905-07-11T00:00:00"/>
    <s v="OCTOBER"/>
    <n v="92"/>
    <n v="7.9"/>
    <n v="102200"/>
    <n v="72.19"/>
    <s v="Alfonso Cuarón"/>
    <s v="RANBIR KAPOOR"/>
    <s v="U"/>
    <s v="Animation"/>
  </r>
  <r>
    <s v="M0305"/>
    <s v="Dune: Part Two 305"/>
    <s v="Horror"/>
    <s v="English"/>
    <s v="Apple TV+"/>
    <d v="1905-07-11T00:00:00"/>
    <s v="OCTOBER"/>
    <n v="154"/>
    <n v="6.5"/>
    <n v="397705"/>
    <n v="479.37"/>
    <s v="Greta Gerwig"/>
    <s v="ALIA BHATT"/>
    <s v="U/A"/>
    <s v="Thriller"/>
  </r>
  <r>
    <s v="M0123"/>
    <s v="Bahubali 2 123"/>
    <s v="Action"/>
    <s v="Telugu"/>
    <s v="Netflix"/>
    <d v="1905-07-14T00:00:00"/>
    <s v="SEPTEMBER"/>
    <n v="101"/>
    <n v="7"/>
    <n v="325114"/>
    <n v="564.49"/>
    <s v="Greta Gerwig"/>
    <s v="SURIYA"/>
    <s v="R"/>
    <s v="Thriller"/>
  </r>
  <r>
    <s v="M0234"/>
    <s v="Toy Story 4 234"/>
    <s v="Animation"/>
    <s v="Japanese"/>
    <s v="Disney+"/>
    <d v="1905-07-17T00:00:00"/>
    <s v="APRIL"/>
    <n v="105"/>
    <n v="7.4"/>
    <n v="474009"/>
    <n v="131.13999999999999"/>
    <s v="Christopher Nolan"/>
    <s v="RAJINIKANTH"/>
    <s v="U"/>
    <s v="Drama"/>
  </r>
  <r>
    <s v="M0254"/>
    <s v="Drishyam 2 254"/>
    <s v="Mystery"/>
    <s v="Malayalam"/>
    <s v="Amazon Prime"/>
    <d v="1905-07-10T00:00:00"/>
    <s v="JUNE"/>
    <n v="177"/>
    <n v="7.6"/>
    <n v="748821"/>
    <n v="250.43"/>
    <s v="Lijo Jose Pellissery"/>
    <s v="NANI"/>
    <s v="PG"/>
    <s v="Comedy"/>
  </r>
  <r>
    <s v="M0429"/>
    <s v="The Dark Knight 429"/>
    <s v="Drama"/>
    <s v="English"/>
    <s v="HBO Max"/>
    <d v="1905-07-14T00:00:00"/>
    <s v="FEBRUARY"/>
    <n v="157"/>
    <n v="4.9000000000000004"/>
    <n v="350436"/>
    <n v="596.13"/>
    <s v="Vetrimaaran"/>
    <s v="RYAN GOSLING"/>
    <s v="U"/>
    <s v="Animation"/>
  </r>
  <r>
    <s v="M0448"/>
    <s v="Shutter Island 448"/>
    <s v="Crime"/>
    <s v="English"/>
    <s v="Paramount+"/>
    <d v="1905-07-17T00:00:00"/>
    <s v="FEBRUARY"/>
    <n v="134"/>
    <n v="7.4"/>
    <n v="937633"/>
    <n v="755.14"/>
    <s v="Anurag Kashyap"/>
    <s v="ALIA BHATT"/>
    <s v="15"/>
    <s v="Romance"/>
  </r>
  <r>
    <s v="M0203"/>
    <s v="Premalu 203"/>
    <s v="Romance"/>
    <s v="Malayalam"/>
    <s v="Disney+"/>
    <d v="1905-07-08T00:00:00"/>
    <s v="MARCH"/>
    <n v="181"/>
    <n v="8.1"/>
    <n v="369411"/>
    <n v="700.31"/>
    <s v="Jeethu Joseph"/>
    <s v="ALIA BHATT"/>
    <s v="U/A"/>
    <s v="Drama"/>
  </r>
  <r>
    <s v="M0512"/>
    <s v="Barbie 512"/>
    <s v="Comedy"/>
    <s v="Spanish"/>
    <s v="HBO Max"/>
    <d v="1905-07-12T00:00:00"/>
    <s v="DECEMBER"/>
    <n v="152"/>
    <n v="8.6"/>
    <n v="454759"/>
    <n v="58.83"/>
    <s v="Lokesh Kanagaraj"/>
    <s v="ROBERT DOWNEY JR."/>
    <s v="18"/>
    <s v="Drama"/>
  </r>
  <r>
    <s v="M0420"/>
    <s v="Train to Busan 420"/>
    <s v="Horror"/>
    <s v="Korean"/>
    <s v="Netflix"/>
    <d v="1905-07-08T00:00:00"/>
    <s v="JANUARY"/>
    <n v="106"/>
    <n v="7.9"/>
    <n v="487354"/>
    <n v="284.43"/>
    <s v="Anurag Kashyap"/>
    <s v="DHANUSH"/>
    <s v="PG"/>
    <s v="Romance"/>
  </r>
  <r>
    <s v="M0121"/>
    <s v="3 Idiots 121"/>
    <s v="Comedy"/>
    <s v="Spanish"/>
    <s v="Netflix"/>
    <d v="1905-07-09T00:00:00"/>
    <s v="FEBRUARY"/>
    <n v="142"/>
    <n v="7.8"/>
    <n v="92855"/>
    <n v="1478.45"/>
    <s v="Martin Scorsese"/>
    <s v="NANI"/>
    <s v="15"/>
    <s v="Mystery"/>
  </r>
  <r>
    <s v="M0369"/>
    <s v="Parasite 369"/>
    <s v="Thriller"/>
    <s v="Korean"/>
    <s v="Disney+"/>
    <d v="1905-07-17T00:00:00"/>
    <s v="JANUARY"/>
    <n v="133"/>
    <n v="6.2"/>
    <n v="46394"/>
    <n v="78.599999999999994"/>
    <s v="Alfonso Cuarón"/>
    <s v="ALIA BHATT"/>
    <s v="PG-13"/>
    <s v="Drama"/>
  </r>
  <r>
    <s v="M0049"/>
    <s v="La La Land"/>
    <s v="Romance"/>
    <s v="English"/>
    <s v="Netflix"/>
    <d v="1905-07-10T00:00:00"/>
    <s v="MAY"/>
    <n v="169"/>
    <n v="6.5"/>
    <n v="557511"/>
    <n v="652.41"/>
    <s v="Vetrimaaran"/>
    <s v="SHAH RUKH KHAN"/>
    <s v="PG"/>
    <s v="Action"/>
  </r>
  <r>
    <s v="M0208"/>
    <s v="12th Fail 208"/>
    <s v="Drama"/>
    <s v="Hindi"/>
    <s v="Disney+"/>
    <d v="1905-07-13T00:00:00"/>
    <s v="DECEMBER"/>
    <n v="115"/>
    <n v="7.5"/>
    <n v="61518"/>
    <n v="438.1"/>
    <s v="Mani Ratnam"/>
    <s v="LEONARDO DICAPRIO"/>
    <s v="18"/>
    <s v="Roman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DD4882-002A-419E-BC5D-00A36B223F0F}" name="PivotTable6" cacheId="10" applyNumberFormats="0" applyBorderFormats="0" applyFontFormats="0" applyPatternFormats="0" applyAlignmentFormats="0" applyWidthHeightFormats="1" dataCaption="Values" updatedVersion="8" minRefreshableVersion="5" itemPrintTitles="1" createdVersion="8" indent="0" compact="0" compactData="0" gridDropZones="1" multipleFieldFilters="0" chartFormat="8">
  <location ref="D28:E40" firstHeaderRow="2" firstDataRow="2" firstDataCol="1"/>
  <pivotFields count="14">
    <pivotField compact="0" outline="0" showAll="0"/>
    <pivotField compact="0" outline="0" showAll="0"/>
    <pivotField compact="0" outline="0" showAll="0"/>
    <pivotField compact="0" outline="0" showAll="0"/>
    <pivotField axis="axisRow" compact="0" outline="0" showAll="0" sortType="descending">
      <items count="11">
        <item x="7"/>
        <item x="0"/>
        <item x="3"/>
        <item x="2"/>
        <item x="6"/>
        <item x="9"/>
        <item x="1"/>
        <item x="5"/>
        <item x="8"/>
        <item x="4"/>
        <item t="default"/>
      </items>
    </pivotField>
    <pivotField compact="0" numFmtId="14" outline="0" showAll="0">
      <items count="12">
        <item x="1"/>
        <item x="6"/>
        <item x="4"/>
        <item x="0"/>
        <item x="5"/>
        <item x="2"/>
        <item x="10"/>
        <item x="7"/>
        <item x="9"/>
        <item x="8"/>
        <item x="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4"/>
  </rowFields>
  <rowItems count="11">
    <i>
      <x/>
    </i>
    <i>
      <x v="1"/>
    </i>
    <i>
      <x v="2"/>
    </i>
    <i>
      <x v="3"/>
    </i>
    <i>
      <x v="4"/>
    </i>
    <i>
      <x v="5"/>
    </i>
    <i>
      <x v="6"/>
    </i>
    <i>
      <x v="7"/>
    </i>
    <i>
      <x v="8"/>
    </i>
    <i>
      <x v="9"/>
    </i>
    <i t="grand">
      <x/>
    </i>
  </rowItems>
  <colItems count="1">
    <i/>
  </colItems>
  <dataFields count="1">
    <dataField name="Sum of Revenue (Million USD)" fld="1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AC1FA0-5B7B-4198-B67E-3A8B2CDED9CC}" name="PivotTable4" cacheId="1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G4:O1773" firstHeaderRow="2" firstDataRow="2" firstDataCol="3"/>
  <pivotFields count="14">
    <pivotField compact="0" outline="0" showAll="0"/>
    <pivotField axis="axisRow" compact="0" outline="0" showAll="0">
      <items count="590">
        <item x="398"/>
        <item x="501"/>
        <item x="276"/>
        <item x="588"/>
        <item x="494"/>
        <item x="522"/>
        <item x="455"/>
        <item x="409"/>
        <item x="269"/>
        <item x="525"/>
        <item x="134"/>
        <item x="67"/>
        <item x="120"/>
        <item x="585"/>
        <item x="71"/>
        <item x="533"/>
        <item x="443"/>
        <item x="84"/>
        <item x="506"/>
        <item x="505"/>
        <item x="319"/>
        <item x="275"/>
        <item x="145"/>
        <item x="7"/>
        <item x="76"/>
        <item x="390"/>
        <item x="14"/>
        <item x="3"/>
        <item x="519"/>
        <item x="259"/>
        <item x="250"/>
        <item x="357"/>
        <item x="246"/>
        <item x="478"/>
        <item x="270"/>
        <item x="393"/>
        <item x="440"/>
        <item x="543"/>
        <item x="340"/>
        <item x="536"/>
        <item x="366"/>
        <item x="365"/>
        <item x="209"/>
        <item x="463"/>
        <item x="193"/>
        <item x="362"/>
        <item x="503"/>
        <item x="163"/>
        <item x="577"/>
        <item x="38"/>
        <item x="96"/>
        <item x="82"/>
        <item x="541"/>
        <item x="392"/>
        <item x="25"/>
        <item x="105"/>
        <item x="238"/>
        <item x="427"/>
        <item x="261"/>
        <item x="256"/>
        <item x="108"/>
        <item x="287"/>
        <item x="451"/>
        <item x="210"/>
        <item x="18"/>
        <item x="471"/>
        <item x="214"/>
        <item x="9"/>
        <item x="483"/>
        <item x="314"/>
        <item x="255"/>
        <item x="397"/>
        <item x="520"/>
        <item x="39"/>
        <item x="16"/>
        <item x="382"/>
        <item x="69"/>
        <item x="237"/>
        <item x="583"/>
        <item x="106"/>
        <item x="46"/>
        <item x="481"/>
        <item x="198"/>
        <item x="573"/>
        <item x="61"/>
        <item x="405"/>
        <item x="475"/>
        <item x="556"/>
        <item x="537"/>
        <item x="420"/>
        <item x="63"/>
        <item x="492"/>
        <item x="242"/>
        <item x="384"/>
        <item x="540"/>
        <item x="185"/>
        <item x="284"/>
        <item x="561"/>
        <item x="435"/>
        <item x="286"/>
        <item x="43"/>
        <item x="161"/>
        <item x="212"/>
        <item x="434"/>
        <item x="5"/>
        <item x="352"/>
        <item x="394"/>
        <item x="534"/>
        <item x="369"/>
        <item x="579"/>
        <item x="531"/>
        <item x="27"/>
        <item x="425"/>
        <item x="203"/>
        <item x="374"/>
        <item x="330"/>
        <item x="112"/>
        <item x="33"/>
        <item x="93"/>
        <item x="439"/>
        <item x="138"/>
        <item x="62"/>
        <item x="576"/>
        <item x="424"/>
        <item x="273"/>
        <item x="486"/>
        <item x="28"/>
        <item x="373"/>
        <item x="133"/>
        <item x="162"/>
        <item x="358"/>
        <item x="201"/>
        <item x="304"/>
        <item x="122"/>
        <item x="485"/>
        <item x="400"/>
        <item x="387"/>
        <item x="429"/>
        <item x="79"/>
        <item x="299"/>
        <item x="411"/>
        <item x="115"/>
        <item x="558"/>
        <item x="130"/>
        <item x="489"/>
        <item x="448"/>
        <item x="487"/>
        <item x="257"/>
        <item x="312"/>
        <item x="416"/>
        <item x="476"/>
        <item x="251"/>
        <item x="208"/>
        <item x="480"/>
        <item x="195"/>
        <item x="253"/>
        <item x="350"/>
        <item x="565"/>
        <item x="414"/>
        <item x="17"/>
        <item x="339"/>
        <item x="491"/>
        <item x="401"/>
        <item x="260"/>
        <item x="127"/>
        <item x="226"/>
        <item x="482"/>
        <item x="72"/>
        <item x="78"/>
        <item x="336"/>
        <item x="464"/>
        <item x="189"/>
        <item x="386"/>
        <item x="182"/>
        <item x="379"/>
        <item x="432"/>
        <item x="461"/>
        <item x="148"/>
        <item x="240"/>
        <item x="19"/>
        <item x="508"/>
        <item x="141"/>
        <item x="282"/>
        <item x="454"/>
        <item x="32"/>
        <item x="126"/>
        <item x="239"/>
        <item x="548"/>
        <item x="70"/>
        <item x="389"/>
        <item x="380"/>
        <item x="423"/>
        <item x="446"/>
        <item x="510"/>
        <item x="355"/>
        <item x="23"/>
        <item x="55"/>
        <item x="325"/>
        <item x="1"/>
        <item x="515"/>
        <item x="87"/>
        <item x="291"/>
        <item x="326"/>
        <item x="553"/>
        <item x="502"/>
        <item x="296"/>
        <item x="295"/>
        <item x="249"/>
        <item x="363"/>
        <item x="118"/>
        <item x="317"/>
        <item x="368"/>
        <item x="36"/>
        <item x="128"/>
        <item x="60"/>
        <item x="49"/>
        <item x="41"/>
        <item x="277"/>
        <item x="151"/>
        <item x="549"/>
        <item x="437"/>
        <item x="213"/>
        <item x="359"/>
        <item x="160"/>
        <item x="521"/>
        <item x="370"/>
        <item x="458"/>
        <item x="274"/>
        <item x="294"/>
        <item x="292"/>
        <item x="30"/>
        <item x="346"/>
        <item x="211"/>
        <item x="230"/>
        <item x="186"/>
        <item x="199"/>
        <item x="157"/>
        <item x="504"/>
        <item x="197"/>
        <item x="396"/>
        <item x="2"/>
        <item x="554"/>
        <item x="202"/>
        <item x="297"/>
        <item x="563"/>
        <item x="98"/>
        <item x="165"/>
        <item x="406"/>
        <item x="10"/>
        <item x="422"/>
        <item x="490"/>
        <item x="320"/>
        <item x="361"/>
        <item x="335"/>
        <item x="171"/>
        <item x="146"/>
        <item x="42"/>
        <item x="514"/>
        <item x="288"/>
        <item x="44"/>
        <item x="530"/>
        <item x="104"/>
        <item x="509"/>
        <item x="59"/>
        <item x="431"/>
        <item x="462"/>
        <item x="114"/>
        <item x="147"/>
        <item x="8"/>
        <item x="221"/>
        <item x="20"/>
        <item x="81"/>
        <item x="83"/>
        <item x="152"/>
        <item x="65"/>
        <item x="188"/>
        <item x="207"/>
        <item x="40"/>
        <item x="289"/>
        <item x="91"/>
        <item x="468"/>
        <item x="378"/>
        <item x="102"/>
        <item x="244"/>
        <item x="496"/>
        <item x="164"/>
        <item x="227"/>
        <item x="402"/>
        <item x="323"/>
        <item x="64"/>
        <item x="421"/>
        <item x="224"/>
        <item x="35"/>
        <item x="110"/>
        <item x="88"/>
        <item x="444"/>
        <item x="177"/>
        <item x="385"/>
        <item x="321"/>
        <item x="460"/>
        <item x="234"/>
        <item x="557"/>
        <item x="26"/>
        <item x="465"/>
        <item x="535"/>
        <item x="587"/>
        <item x="354"/>
        <item x="342"/>
        <item x="564"/>
        <item x="410"/>
        <item x="498"/>
        <item x="90"/>
        <item x="116"/>
        <item x="206"/>
        <item x="216"/>
        <item x="338"/>
        <item x="158"/>
        <item x="479"/>
        <item x="430"/>
        <item x="391"/>
        <item x="241"/>
        <item x="472"/>
        <item x="329"/>
        <item x="456"/>
        <item x="293"/>
        <item x="229"/>
        <item x="459"/>
        <item x="570"/>
        <item x="77"/>
        <item x="538"/>
        <item x="168"/>
        <item x="413"/>
        <item x="180"/>
        <item x="13"/>
        <item x="222"/>
        <item x="497"/>
        <item x="183"/>
        <item x="353"/>
        <item x="516"/>
        <item x="167"/>
        <item x="0"/>
        <item x="12"/>
        <item x="547"/>
        <item x="450"/>
        <item x="56"/>
        <item x="433"/>
        <item x="103"/>
        <item x="283"/>
        <item x="542"/>
        <item x="568"/>
        <item x="327"/>
        <item x="328"/>
        <item x="473"/>
        <item x="50"/>
        <item x="415"/>
        <item x="436"/>
        <item x="51"/>
        <item x="586"/>
        <item x="217"/>
        <item x="560"/>
        <item x="298"/>
        <item x="232"/>
        <item x="484"/>
        <item x="22"/>
        <item x="546"/>
        <item x="125"/>
        <item x="220"/>
        <item x="300"/>
        <item x="305"/>
        <item x="178"/>
        <item x="109"/>
        <item x="477"/>
        <item x="235"/>
        <item x="302"/>
        <item x="375"/>
        <item x="408"/>
        <item x="117"/>
        <item x="173"/>
        <item x="582"/>
        <item x="271"/>
        <item x="334"/>
        <item x="527"/>
        <item x="445"/>
        <item x="92"/>
        <item x="407"/>
        <item x="488"/>
        <item x="381"/>
        <item x="176"/>
        <item x="349"/>
        <item x="97"/>
        <item x="34"/>
        <item x="574"/>
        <item x="403"/>
        <item x="170"/>
        <item x="313"/>
        <item x="75"/>
        <item x="307"/>
        <item x="52"/>
        <item x="156"/>
        <item x="267"/>
        <item x="6"/>
        <item x="532"/>
        <item x="137"/>
        <item x="140"/>
        <item x="139"/>
        <item x="364"/>
        <item x="290"/>
        <item x="367"/>
        <item x="345"/>
        <item x="372"/>
        <item x="247"/>
        <item x="99"/>
        <item x="419"/>
        <item x="318"/>
        <item x="495"/>
        <item x="272"/>
        <item x="341"/>
        <item x="581"/>
        <item x="500"/>
        <item x="184"/>
        <item x="248"/>
        <item x="333"/>
        <item x="303"/>
        <item x="348"/>
        <item x="371"/>
        <item x="219"/>
        <item x="571"/>
        <item x="190"/>
        <item x="442"/>
        <item x="113"/>
        <item x="347"/>
        <item x="95"/>
        <item x="322"/>
        <item x="383"/>
        <item x="310"/>
        <item x="159"/>
        <item x="308"/>
        <item x="150"/>
        <item x="279"/>
        <item x="331"/>
        <item x="89"/>
        <item x="121"/>
        <item x="569"/>
        <item x="21"/>
        <item x="142"/>
        <item x="191"/>
        <item x="57"/>
        <item x="54"/>
        <item x="149"/>
        <item x="467"/>
        <item x="567"/>
        <item x="174"/>
        <item x="544"/>
        <item x="194"/>
        <item x="388"/>
        <item x="469"/>
        <item x="254"/>
        <item x="175"/>
        <item x="281"/>
        <item x="266"/>
        <item x="562"/>
        <item x="73"/>
        <item x="228"/>
        <item x="187"/>
        <item x="418"/>
        <item x="360"/>
        <item x="231"/>
        <item x="205"/>
        <item x="449"/>
        <item x="559"/>
        <item x="233"/>
        <item x="94"/>
        <item x="285"/>
        <item x="428"/>
        <item x="131"/>
        <item x="192"/>
        <item x="580"/>
        <item x="172"/>
        <item x="215"/>
        <item x="196"/>
        <item x="399"/>
        <item x="181"/>
        <item x="343"/>
        <item x="278"/>
        <item x="268"/>
        <item x="528"/>
        <item x="517"/>
        <item x="426"/>
        <item x="470"/>
        <item x="316"/>
        <item x="68"/>
        <item x="447"/>
        <item x="324"/>
        <item x="511"/>
        <item x="252"/>
        <item x="86"/>
        <item x="153"/>
        <item x="258"/>
        <item x="457"/>
        <item x="29"/>
        <item x="351"/>
        <item x="132"/>
        <item x="169"/>
        <item x="493"/>
        <item x="438"/>
        <item x="337"/>
        <item x="124"/>
        <item x="107"/>
        <item x="441"/>
        <item x="280"/>
        <item x="518"/>
        <item x="301"/>
        <item x="136"/>
        <item x="225"/>
        <item x="529"/>
        <item x="58"/>
        <item x="566"/>
        <item x="499"/>
        <item x="395"/>
        <item x="263"/>
        <item x="575"/>
        <item x="376"/>
        <item x="309"/>
        <item x="551"/>
        <item x="243"/>
        <item x="53"/>
        <item x="119"/>
        <item x="526"/>
        <item x="143"/>
        <item x="539"/>
        <item x="555"/>
        <item x="507"/>
        <item x="578"/>
        <item x="123"/>
        <item x="155"/>
        <item x="24"/>
        <item x="245"/>
        <item x="552"/>
        <item x="332"/>
        <item x="452"/>
        <item x="404"/>
        <item x="315"/>
        <item x="4"/>
        <item x="15"/>
        <item x="111"/>
        <item x="412"/>
        <item x="204"/>
        <item x="37"/>
        <item x="584"/>
        <item x="417"/>
        <item x="100"/>
        <item x="45"/>
        <item x="200"/>
        <item x="101"/>
        <item x="179"/>
        <item x="264"/>
        <item x="524"/>
        <item x="154"/>
        <item x="356"/>
        <item x="377"/>
        <item x="166"/>
        <item x="144"/>
        <item x="311"/>
        <item x="74"/>
        <item x="31"/>
        <item x="48"/>
        <item x="66"/>
        <item x="306"/>
        <item x="223"/>
        <item x="466"/>
        <item x="265"/>
        <item x="135"/>
        <item x="11"/>
        <item x="218"/>
        <item x="523"/>
        <item x="85"/>
        <item x="545"/>
        <item x="474"/>
        <item x="236"/>
        <item x="80"/>
        <item x="453"/>
        <item x="550"/>
        <item x="129"/>
        <item x="344"/>
        <item x="47"/>
        <item x="572"/>
        <item x="512"/>
        <item x="513"/>
        <item x="262"/>
        <item t="default"/>
      </items>
    </pivotField>
    <pivotField compact="0" outline="0" showAll="0"/>
    <pivotField compact="0" outline="0" showAll="0"/>
    <pivotField compact="0" outline="0" showAll="0">
      <items count="11">
        <item x="4"/>
        <item x="8"/>
        <item x="5"/>
        <item x="1"/>
        <item x="9"/>
        <item x="6"/>
        <item x="2"/>
        <item x="3"/>
        <item x="0"/>
        <item x="7"/>
        <item t="default"/>
      </items>
    </pivotField>
    <pivotField compact="0" numFmtId="14" outline="0" showAll="0">
      <items count="12">
        <item x="1"/>
        <item x="6"/>
        <item x="4"/>
        <item x="0"/>
        <item x="5"/>
        <item x="2"/>
        <item x="10"/>
        <item x="7"/>
        <item x="9"/>
        <item x="8"/>
        <item x="3"/>
        <item t="default"/>
      </items>
    </pivotField>
    <pivotField compact="0" outline="0" showAll="0"/>
    <pivotField compact="0" outline="0" showAll="0"/>
    <pivotField compact="0" outline="0" showAll="0"/>
    <pivotField axis="axisRow" compact="0" outline="0" showAll="0">
      <items count="590">
        <item x="524"/>
        <item x="216"/>
        <item x="545"/>
        <item x="166"/>
        <item x="269"/>
        <item x="277"/>
        <item x="311"/>
        <item x="519"/>
        <item x="274"/>
        <item x="385"/>
        <item x="288"/>
        <item x="470"/>
        <item x="349"/>
        <item x="416"/>
        <item x="203"/>
        <item x="157"/>
        <item x="271"/>
        <item x="401"/>
        <item x="108"/>
        <item x="527"/>
        <item x="180"/>
        <item x="565"/>
        <item x="522"/>
        <item x="506"/>
        <item x="492"/>
        <item x="517"/>
        <item x="586"/>
        <item x="397"/>
        <item x="386"/>
        <item x="2"/>
        <item x="77"/>
        <item x="1"/>
        <item x="411"/>
        <item x="284"/>
        <item x="407"/>
        <item x="229"/>
        <item x="570"/>
        <item x="0"/>
        <item x="588"/>
        <item x="388"/>
        <item x="133"/>
        <item x="119"/>
        <item x="232"/>
        <item x="257"/>
        <item x="105"/>
        <item x="352"/>
        <item x="214"/>
        <item x="325"/>
        <item x="562"/>
        <item x="532"/>
        <item x="475"/>
        <item x="474"/>
        <item x="490"/>
        <item x="231"/>
        <item x="28"/>
        <item x="185"/>
        <item x="526"/>
        <item x="585"/>
        <item x="515"/>
        <item x="167"/>
        <item x="342"/>
        <item x="153"/>
        <item x="575"/>
        <item x="419"/>
        <item x="427"/>
        <item x="467"/>
        <item x="146"/>
        <item x="446"/>
        <item x="500"/>
        <item x="63"/>
        <item x="465"/>
        <item x="426"/>
        <item x="140"/>
        <item x="238"/>
        <item x="41"/>
        <item x="184"/>
        <item x="3"/>
        <item x="442"/>
        <item x="300"/>
        <item x="246"/>
        <item x="549"/>
        <item x="49"/>
        <item x="202"/>
        <item x="138"/>
        <item x="258"/>
        <item x="120"/>
        <item x="458"/>
        <item x="437"/>
        <item x="69"/>
        <item x="174"/>
        <item x="493"/>
        <item x="371"/>
        <item x="205"/>
        <item x="183"/>
        <item x="233"/>
        <item x="172"/>
        <item x="92"/>
        <item x="23"/>
        <item x="298"/>
        <item x="296"/>
        <item x="151"/>
        <item x="273"/>
        <item x="89"/>
        <item x="344"/>
        <item x="9"/>
        <item x="107"/>
        <item x="170"/>
        <item x="51"/>
        <item x="291"/>
        <item x="423"/>
        <item x="486"/>
        <item x="121"/>
        <item x="252"/>
        <item x="503"/>
        <item x="76"/>
        <item x="6"/>
        <item x="173"/>
        <item x="196"/>
        <item x="26"/>
        <item x="563"/>
        <item x="148"/>
        <item x="554"/>
        <item x="548"/>
        <item x="218"/>
        <item x="29"/>
        <item x="98"/>
        <item x="387"/>
        <item x="312"/>
        <item x="440"/>
        <item x="513"/>
        <item x="366"/>
        <item x="66"/>
        <item x="221"/>
        <item x="265"/>
        <item x="369"/>
        <item x="323"/>
        <item x="528"/>
        <item x="268"/>
        <item x="19"/>
        <item x="237"/>
        <item x="509"/>
        <item x="424"/>
        <item x="25"/>
        <item x="499"/>
        <item x="208"/>
        <item x="383"/>
        <item x="42"/>
        <item x="418"/>
        <item x="225"/>
        <item x="317"/>
        <item x="104"/>
        <item x="459"/>
        <item x="47"/>
        <item x="125"/>
        <item x="96"/>
        <item x="343"/>
        <item x="186"/>
        <item x="200"/>
        <item x="421"/>
        <item x="8"/>
        <item x="408"/>
        <item x="512"/>
        <item x="213"/>
        <item x="182"/>
        <item x="516"/>
        <item x="428"/>
        <item x="432"/>
        <item x="90"/>
        <item x="175"/>
        <item x="514"/>
        <item x="97"/>
        <item x="560"/>
        <item x="347"/>
        <item x="127"/>
        <item x="244"/>
        <item x="564"/>
        <item x="373"/>
        <item x="144"/>
        <item x="59"/>
        <item x="212"/>
        <item x="316"/>
        <item x="224"/>
        <item x="360"/>
        <item x="222"/>
        <item x="57"/>
        <item x="314"/>
        <item x="256"/>
        <item x="240"/>
        <item x="38"/>
        <item x="577"/>
        <item x="24"/>
        <item x="310"/>
        <item x="46"/>
        <item x="368"/>
        <item x="520"/>
        <item x="207"/>
        <item x="235"/>
        <item x="547"/>
        <item x="404"/>
        <item x="393"/>
        <item x="129"/>
        <item x="262"/>
        <item x="17"/>
        <item x="580"/>
        <item x="430"/>
        <item x="294"/>
        <item x="482"/>
        <item x="53"/>
        <item x="538"/>
        <item x="45"/>
        <item x="510"/>
        <item x="290"/>
        <item x="443"/>
        <item x="403"/>
        <item x="324"/>
        <item x="448"/>
        <item x="582"/>
        <item x="333"/>
        <item x="546"/>
        <item x="139"/>
        <item x="495"/>
        <item x="457"/>
        <item x="21"/>
        <item x="56"/>
        <item x="37"/>
        <item x="540"/>
        <item x="313"/>
        <item x="117"/>
        <item x="399"/>
        <item x="445"/>
        <item x="159"/>
        <item x="211"/>
        <item x="198"/>
        <item x="473"/>
        <item x="335"/>
        <item x="191"/>
        <item x="455"/>
        <item x="264"/>
        <item x="302"/>
        <item x="576"/>
        <item x="364"/>
        <item x="534"/>
        <item x="535"/>
        <item x="241"/>
        <item x="293"/>
        <item x="539"/>
        <item x="145"/>
        <item x="4"/>
        <item x="123"/>
        <item x="136"/>
        <item x="35"/>
        <item x="409"/>
        <item x="36"/>
        <item x="420"/>
        <item x="192"/>
        <item x="469"/>
        <item x="573"/>
        <item x="285"/>
        <item x="71"/>
        <item x="255"/>
        <item x="220"/>
        <item x="372"/>
        <item x="88"/>
        <item x="328"/>
        <item x="497"/>
        <item x="60"/>
        <item x="84"/>
        <item x="137"/>
        <item x="379"/>
        <item x="541"/>
        <item x="217"/>
        <item x="106"/>
        <item x="187"/>
        <item x="501"/>
        <item x="112"/>
        <item x="537"/>
        <item x="378"/>
        <item x="179"/>
        <item x="250"/>
        <item x="130"/>
        <item x="466"/>
        <item x="150"/>
        <item x="485"/>
        <item x="161"/>
        <item x="410"/>
        <item x="149"/>
        <item x="569"/>
        <item x="270"/>
        <item x="162"/>
        <item x="544"/>
        <item x="583"/>
        <item x="382"/>
        <item x="412"/>
        <item x="81"/>
        <item x="327"/>
        <item x="464"/>
        <item x="128"/>
        <item x="439"/>
        <item x="201"/>
        <item x="521"/>
        <item x="253"/>
        <item x="578"/>
        <item x="260"/>
        <item x="494"/>
        <item x="452"/>
        <item x="571"/>
        <item x="367"/>
        <item x="254"/>
        <item x="308"/>
        <item x="299"/>
        <item x="80"/>
        <item x="353"/>
        <item x="43"/>
        <item x="357"/>
        <item x="584"/>
        <item x="358"/>
        <item x="523"/>
        <item x="124"/>
        <item x="355"/>
        <item x="13"/>
        <item x="375"/>
        <item x="320"/>
        <item x="95"/>
        <item x="395"/>
        <item x="11"/>
        <item x="181"/>
        <item x="438"/>
        <item x="332"/>
        <item x="163"/>
        <item x="247"/>
        <item x="86"/>
        <item x="552"/>
        <item x="561"/>
        <item x="297"/>
        <item x="75"/>
        <item x="109"/>
        <item x="82"/>
        <item x="272"/>
        <item x="286"/>
        <item x="431"/>
        <item x="177"/>
        <item x="154"/>
        <item x="559"/>
        <item x="34"/>
        <item x="491"/>
        <item x="374"/>
        <item x="531"/>
        <item x="348"/>
        <item x="350"/>
        <item x="413"/>
        <item x="505"/>
        <item x="487"/>
        <item x="478"/>
        <item x="587"/>
        <item x="558"/>
        <item x="10"/>
        <item x="14"/>
        <item x="553"/>
        <item x="134"/>
        <item x="40"/>
        <item x="389"/>
        <item x="65"/>
        <item x="479"/>
        <item x="356"/>
        <item x="351"/>
        <item x="30"/>
        <item x="169"/>
        <item x="152"/>
        <item x="384"/>
        <item x="74"/>
        <item x="502"/>
        <item x="400"/>
        <item x="462"/>
        <item x="54"/>
        <item x="156"/>
        <item x="50"/>
        <item x="451"/>
        <item x="354"/>
        <item x="334"/>
        <item x="508"/>
        <item x="12"/>
        <item x="135"/>
        <item x="110"/>
        <item x="131"/>
        <item x="447"/>
        <item x="48"/>
        <item x="329"/>
        <item x="70"/>
        <item x="234"/>
        <item x="504"/>
        <item x="32"/>
        <item x="362"/>
        <item x="68"/>
        <item x="405"/>
        <item x="461"/>
        <item x="287"/>
        <item x="567"/>
        <item x="525"/>
        <item x="453"/>
        <item x="441"/>
        <item x="155"/>
        <item x="99"/>
        <item x="339"/>
        <item x="228"/>
        <item x="376"/>
        <item x="460"/>
        <item x="414"/>
        <item x="463"/>
        <item x="79"/>
        <item x="223"/>
        <item x="91"/>
        <item x="197"/>
        <item x="398"/>
        <item x="518"/>
        <item x="22"/>
        <item x="44"/>
        <item x="210"/>
        <item x="318"/>
        <item x="58"/>
        <item x="557"/>
        <item x="188"/>
        <item x="489"/>
        <item x="199"/>
        <item x="533"/>
        <item x="20"/>
        <item x="507"/>
        <item x="471"/>
        <item x="242"/>
        <item x="195"/>
        <item x="251"/>
        <item x="322"/>
        <item x="261"/>
        <item x="568"/>
        <item x="337"/>
        <item x="481"/>
        <item x="536"/>
        <item x="542"/>
        <item x="377"/>
        <item x="406"/>
        <item x="359"/>
        <item x="178"/>
        <item x="116"/>
        <item x="338"/>
        <item x="72"/>
        <item x="472"/>
        <item x="101"/>
        <item x="83"/>
        <item x="484"/>
        <item x="33"/>
        <item x="341"/>
        <item x="543"/>
        <item x="572"/>
        <item x="193"/>
        <item x="94"/>
        <item x="483"/>
        <item x="143"/>
        <item x="164"/>
        <item x="239"/>
        <item x="278"/>
        <item x="165"/>
        <item x="78"/>
        <item x="31"/>
        <item x="370"/>
        <item x="415"/>
        <item x="168"/>
        <item x="118"/>
        <item x="85"/>
        <item x="39"/>
        <item x="114"/>
        <item x="579"/>
        <item x="319"/>
        <item x="422"/>
        <item x="315"/>
        <item x="7"/>
        <item x="93"/>
        <item x="551"/>
        <item x="429"/>
        <item x="171"/>
        <item x="456"/>
        <item x="122"/>
        <item x="204"/>
        <item x="230"/>
        <item x="330"/>
        <item x="450"/>
        <item x="363"/>
        <item x="391"/>
        <item x="307"/>
        <item x="380"/>
        <item x="189"/>
        <item x="480"/>
        <item x="276"/>
        <item x="449"/>
        <item x="321"/>
        <item x="346"/>
        <item x="280"/>
        <item x="248"/>
        <item x="511"/>
        <item x="62"/>
        <item x="396"/>
        <item x="55"/>
        <item x="227"/>
        <item x="425"/>
        <item x="113"/>
        <item x="435"/>
        <item x="132"/>
        <item x="73"/>
        <item x="236"/>
        <item x="266"/>
        <item x="126"/>
        <item x="454"/>
        <item x="18"/>
        <item x="219"/>
        <item x="190"/>
        <item x="194"/>
        <item x="142"/>
        <item x="304"/>
        <item x="434"/>
        <item x="550"/>
        <item x="158"/>
        <item x="282"/>
        <item x="336"/>
        <item x="303"/>
        <item x="468"/>
        <item x="176"/>
        <item x="436"/>
        <item x="275"/>
        <item x="361"/>
        <item x="245"/>
        <item x="209"/>
        <item x="381"/>
        <item x="390"/>
        <item x="496"/>
        <item x="215"/>
        <item x="295"/>
        <item x="530"/>
        <item x="226"/>
        <item x="103"/>
        <item x="488"/>
        <item x="301"/>
        <item x="102"/>
        <item x="417"/>
        <item x="15"/>
        <item x="67"/>
        <item x="147"/>
        <item x="283"/>
        <item x="529"/>
        <item x="402"/>
        <item x="243"/>
        <item x="289"/>
        <item x="267"/>
        <item x="309"/>
        <item x="141"/>
        <item x="160"/>
        <item x="111"/>
        <item x="574"/>
        <item x="292"/>
        <item x="566"/>
        <item x="305"/>
        <item x="87"/>
        <item x="64"/>
        <item x="5"/>
        <item x="263"/>
        <item x="444"/>
        <item x="477"/>
        <item x="279"/>
        <item x="331"/>
        <item x="52"/>
        <item x="326"/>
        <item x="392"/>
        <item x="16"/>
        <item x="433"/>
        <item x="206"/>
        <item x="249"/>
        <item x="365"/>
        <item x="556"/>
        <item x="394"/>
        <item x="340"/>
        <item x="100"/>
        <item x="345"/>
        <item x="306"/>
        <item x="27"/>
        <item x="498"/>
        <item x="259"/>
        <item x="555"/>
        <item x="61"/>
        <item x="581"/>
        <item x="476"/>
        <item x="115"/>
        <item x="281"/>
        <item t="default"/>
      </items>
    </pivotField>
    <pivotField compact="0" outline="0" showAll="0"/>
    <pivotField compact="0" outline="0" showAll="0"/>
    <pivotField compact="0" outline="0" showAll="0"/>
    <pivotField axis="axisRow" compact="0" outline="0" showAll="0">
      <items count="8">
        <item x="3"/>
        <item x="5"/>
        <item x="2"/>
        <item x="0"/>
        <item x="4"/>
        <item x="6"/>
        <item x="1"/>
        <item t="default"/>
      </items>
    </pivotField>
  </pivotFields>
  <rowFields count="3">
    <field x="1"/>
    <field x="13"/>
    <field x="9"/>
  </rowFields>
  <rowItems count="1768">
    <i>
      <x/>
      <x v="3"/>
      <x v="412"/>
    </i>
    <i t="default" r="1">
      <x v="3"/>
    </i>
    <i t="default">
      <x/>
    </i>
    <i>
      <x v="1"/>
      <x v="6"/>
      <x v="273"/>
    </i>
    <i t="default" r="1">
      <x v="6"/>
    </i>
    <i t="default">
      <x v="1"/>
    </i>
    <i>
      <x v="2"/>
      <x v="5"/>
      <x v="490"/>
    </i>
    <i t="default" r="1">
      <x v="5"/>
    </i>
    <i t="default">
      <x v="2"/>
    </i>
    <i>
      <x v="3"/>
      <x v="1"/>
      <x v="38"/>
    </i>
    <i t="default" r="1">
      <x v="1"/>
    </i>
    <i t="default">
      <x v="3"/>
    </i>
    <i>
      <x v="4"/>
      <x v="4"/>
      <x v="303"/>
    </i>
    <i t="default" r="1">
      <x v="4"/>
    </i>
    <i t="default">
      <x v="4"/>
    </i>
    <i>
      <x v="5"/>
      <x v="3"/>
      <x v="22"/>
    </i>
    <i t="default" r="1">
      <x v="3"/>
    </i>
    <i t="default">
      <x v="5"/>
    </i>
    <i>
      <x v="6"/>
      <x v="3"/>
      <x v="236"/>
    </i>
    <i t="default" r="1">
      <x v="3"/>
    </i>
    <i t="default">
      <x v="6"/>
    </i>
    <i>
      <x v="7"/>
      <x/>
      <x v="251"/>
    </i>
    <i t="default" r="1">
      <x/>
    </i>
    <i t="default">
      <x v="7"/>
    </i>
    <i>
      <x v="8"/>
      <x v="2"/>
      <x v="4"/>
    </i>
    <i t="default" r="1">
      <x v="2"/>
    </i>
    <i t="default">
      <x v="8"/>
    </i>
    <i>
      <x v="9"/>
      <x v="4"/>
      <x v="397"/>
    </i>
    <i t="default" r="1">
      <x v="4"/>
    </i>
    <i t="default">
      <x v="9"/>
    </i>
    <i>
      <x v="10"/>
      <x v="5"/>
      <x v="358"/>
    </i>
    <i t="default" r="1">
      <x v="5"/>
    </i>
    <i t="default">
      <x v="10"/>
    </i>
    <i>
      <x v="11"/>
      <x v="5"/>
      <x v="542"/>
    </i>
    <i t="default" r="1">
      <x v="5"/>
    </i>
    <i t="default">
      <x v="11"/>
    </i>
    <i>
      <x v="12"/>
      <x v="3"/>
      <x v="85"/>
    </i>
    <i t="default" r="1">
      <x v="3"/>
    </i>
    <i t="default">
      <x v="12"/>
    </i>
    <i>
      <x v="13"/>
      <x/>
      <x v="57"/>
    </i>
    <i t="default" r="1">
      <x/>
    </i>
    <i t="default">
      <x v="13"/>
    </i>
    <i>
      <x v="14"/>
      <x v="6"/>
      <x v="258"/>
    </i>
    <i t="default" r="1">
      <x v="6"/>
    </i>
    <i t="default">
      <x v="14"/>
    </i>
    <i>
      <x v="15"/>
      <x v="1"/>
      <x v="423"/>
    </i>
    <i t="default" r="1">
      <x v="1"/>
    </i>
    <i t="default">
      <x v="15"/>
    </i>
    <i>
      <x v="16"/>
      <x v="5"/>
      <x v="212"/>
    </i>
    <i t="default" r="1">
      <x v="5"/>
    </i>
    <i t="default">
      <x v="16"/>
    </i>
    <i>
      <x v="17"/>
      <x v="2"/>
      <x v="266"/>
    </i>
    <i t="default" r="1">
      <x v="2"/>
    </i>
    <i t="default">
      <x v="17"/>
    </i>
    <i>
      <x v="18"/>
      <x v="1"/>
      <x v="23"/>
    </i>
    <i t="default" r="1">
      <x v="1"/>
    </i>
    <i t="default">
      <x v="18"/>
    </i>
    <i>
      <x v="19"/>
      <x v="6"/>
      <x v="350"/>
    </i>
    <i t="default" r="1">
      <x v="6"/>
    </i>
    <i t="default">
      <x v="19"/>
    </i>
    <i>
      <x v="20"/>
      <x v="5"/>
      <x v="470"/>
    </i>
    <i t="default" r="1">
      <x v="5"/>
    </i>
    <i t="default">
      <x v="20"/>
    </i>
    <i>
      <x v="21"/>
      <x/>
      <x v="525"/>
    </i>
    <i t="default" r="1">
      <x/>
    </i>
    <i t="default">
      <x v="21"/>
    </i>
    <i>
      <x v="22"/>
      <x v="2"/>
      <x v="246"/>
    </i>
    <i t="default" r="1">
      <x v="2"/>
    </i>
    <i t="default">
      <x v="22"/>
    </i>
    <i>
      <x v="23"/>
      <x/>
      <x v="473"/>
    </i>
    <i t="default" r="1">
      <x/>
    </i>
    <i t="default">
      <x v="23"/>
    </i>
    <i>
      <x v="24"/>
      <x v="6"/>
      <x v="114"/>
    </i>
    <i t="default" r="1">
      <x v="6"/>
    </i>
    <i t="default">
      <x v="24"/>
    </i>
    <i>
      <x v="25"/>
      <x/>
      <x v="530"/>
    </i>
    <i t="default" r="1">
      <x/>
    </i>
    <i t="default">
      <x v="25"/>
    </i>
    <i>
      <x v="26"/>
      <x/>
      <x v="356"/>
    </i>
    <i t="default" r="1">
      <x/>
    </i>
    <i t="default">
      <x v="26"/>
    </i>
    <i>
      <x v="27"/>
      <x v="2"/>
      <x v="76"/>
    </i>
    <i t="default" r="1">
      <x v="2"/>
    </i>
    <i t="default">
      <x v="27"/>
    </i>
    <i>
      <x v="28"/>
      <x v="2"/>
      <x v="7"/>
    </i>
    <i t="default" r="1">
      <x v="2"/>
    </i>
    <i t="default">
      <x v="28"/>
    </i>
    <i>
      <x v="29"/>
      <x v="4"/>
      <x v="582"/>
    </i>
    <i t="default" r="1">
      <x v="4"/>
    </i>
    <i t="default">
      <x v="29"/>
    </i>
    <i>
      <x v="30"/>
      <x v="6"/>
      <x v="278"/>
    </i>
    <i t="default" r="1">
      <x v="6"/>
    </i>
    <i t="default">
      <x v="30"/>
    </i>
    <i>
      <x v="31"/>
      <x v="2"/>
      <x v="313"/>
    </i>
    <i t="default" r="1">
      <x v="2"/>
    </i>
    <i t="default">
      <x v="31"/>
    </i>
    <i>
      <x v="32"/>
      <x v="4"/>
      <x v="79"/>
    </i>
    <i t="default" r="1">
      <x v="4"/>
    </i>
    <i t="default">
      <x v="32"/>
    </i>
    <i>
      <x v="33"/>
      <x v="3"/>
      <x v="352"/>
    </i>
    <i t="default" r="1">
      <x v="3"/>
    </i>
    <i t="default">
      <x v="33"/>
    </i>
    <i>
      <x v="34"/>
      <x v="5"/>
      <x v="287"/>
    </i>
    <i t="default" r="1">
      <x v="5"/>
    </i>
    <i t="default">
      <x v="34"/>
    </i>
    <i>
      <x v="35"/>
      <x v="1"/>
      <x v="199"/>
    </i>
    <i t="default" r="1">
      <x v="1"/>
    </i>
    <i t="default">
      <x v="35"/>
    </i>
    <i>
      <x v="36"/>
      <x v="2"/>
      <x v="128"/>
    </i>
    <i t="default" r="1">
      <x v="2"/>
    </i>
    <i t="default">
      <x v="36"/>
    </i>
    <i>
      <x v="37"/>
      <x v="2"/>
      <x v="450"/>
    </i>
    <i t="default" r="1">
      <x v="2"/>
    </i>
    <i t="default">
      <x v="37"/>
    </i>
    <i>
      <x v="38"/>
      <x v="6"/>
      <x v="576"/>
    </i>
    <i t="default" r="1">
      <x v="6"/>
    </i>
    <i t="default">
      <x v="38"/>
    </i>
    <i>
      <x v="39"/>
      <x v="4"/>
      <x v="435"/>
    </i>
    <i t="default" r="1">
      <x v="4"/>
    </i>
    <i t="default">
      <x v="39"/>
    </i>
    <i>
      <x v="40"/>
      <x v="2"/>
      <x v="130"/>
    </i>
    <i t="default" r="1">
      <x v="2"/>
    </i>
    <i t="default">
      <x v="40"/>
    </i>
    <i>
      <x v="41"/>
      <x v="5"/>
      <x v="573"/>
    </i>
    <i t="default" r="1">
      <x v="5"/>
    </i>
    <i t="default">
      <x v="41"/>
    </i>
    <i>
      <x v="42"/>
      <x v="5"/>
      <x v="528"/>
    </i>
    <i t="default" r="1">
      <x v="5"/>
    </i>
    <i t="default">
      <x v="42"/>
    </i>
    <i>
      <x v="43"/>
      <x v="2"/>
      <x v="407"/>
    </i>
    <i t="default" r="1">
      <x v="2"/>
    </i>
    <i t="default">
      <x v="43"/>
    </i>
    <i>
      <x v="44"/>
      <x/>
      <x v="452"/>
    </i>
    <i t="default" r="1">
      <x/>
    </i>
    <i t="default">
      <x v="44"/>
    </i>
    <i>
      <x v="45"/>
      <x v="5"/>
      <x v="391"/>
    </i>
    <i t="default" r="1">
      <x v="5"/>
    </i>
    <i t="default">
      <x v="45"/>
    </i>
    <i>
      <x v="46"/>
      <x v="3"/>
      <x v="113"/>
    </i>
    <i t="default" r="1">
      <x v="3"/>
    </i>
    <i t="default">
      <x v="46"/>
    </i>
    <i>
      <x v="47"/>
      <x v="5"/>
      <x v="328"/>
    </i>
    <i t="default" r="1">
      <x v="5"/>
    </i>
    <i t="default">
      <x v="47"/>
    </i>
    <i>
      <x v="48"/>
      <x v="4"/>
      <x v="189"/>
    </i>
    <i t="default" r="1">
      <x v="4"/>
    </i>
    <i t="default">
      <x v="48"/>
    </i>
    <i>
      <x v="49"/>
      <x v="3"/>
      <x v="188"/>
    </i>
    <i t="default" r="1">
      <x v="3"/>
    </i>
    <i t="default">
      <x v="49"/>
    </i>
    <i>
      <x v="50"/>
      <x v="3"/>
      <x v="154"/>
    </i>
    <i t="default" r="1">
      <x v="3"/>
    </i>
    <i t="default">
      <x v="50"/>
    </i>
    <i>
      <x v="51"/>
      <x v="3"/>
      <x v="336"/>
    </i>
    <i t="default" r="1">
      <x v="3"/>
    </i>
    <i t="default">
      <x v="51"/>
    </i>
    <i>
      <x v="52"/>
      <x v="2"/>
      <x v="269"/>
    </i>
    <i t="default" r="1">
      <x v="2"/>
    </i>
    <i t="default">
      <x v="52"/>
    </i>
    <i>
      <x v="53"/>
      <x v="2"/>
      <x v="568"/>
    </i>
    <i t="default" r="1">
      <x v="2"/>
    </i>
    <i t="default">
      <x v="53"/>
    </i>
    <i>
      <x v="54"/>
      <x/>
      <x v="142"/>
    </i>
    <i t="default" r="1">
      <x/>
    </i>
    <i t="default">
      <x v="54"/>
    </i>
    <i>
      <x v="55"/>
      <x v="6"/>
      <x v="44"/>
    </i>
    <i t="default" r="1">
      <x v="6"/>
    </i>
    <i t="default">
      <x v="55"/>
    </i>
    <i>
      <x v="56"/>
      <x v="5"/>
      <x v="73"/>
    </i>
    <i t="default" r="1">
      <x v="5"/>
    </i>
    <i t="default">
      <x v="56"/>
    </i>
    <i>
      <x v="57"/>
      <x v="2"/>
      <x v="64"/>
    </i>
    <i t="default" r="1">
      <x v="2"/>
    </i>
    <i t="default">
      <x v="57"/>
    </i>
    <i>
      <x v="58"/>
      <x v="4"/>
      <x v="431"/>
    </i>
    <i t="default" r="1">
      <x v="4"/>
    </i>
    <i t="default">
      <x v="58"/>
    </i>
    <i>
      <x v="59"/>
      <x v="2"/>
      <x v="186"/>
    </i>
    <i t="default" r="1">
      <x v="2"/>
    </i>
    <i t="default">
      <x v="59"/>
    </i>
    <i>
      <x v="60"/>
      <x v="6"/>
      <x v="18"/>
    </i>
    <i t="default" r="1">
      <x v="6"/>
    </i>
    <i t="default">
      <x v="60"/>
    </i>
    <i>
      <x v="61"/>
      <x v="3"/>
      <x v="395"/>
    </i>
    <i t="default" r="1">
      <x v="3"/>
    </i>
    <i t="default">
      <x v="61"/>
    </i>
    <i>
      <x v="62"/>
      <x v="3"/>
      <x v="376"/>
    </i>
    <i t="default" r="1">
      <x v="3"/>
    </i>
    <i t="default">
      <x v="62"/>
    </i>
    <i>
      <x v="63"/>
      <x v="3"/>
      <x v="416"/>
    </i>
    <i t="default" r="1">
      <x v="3"/>
    </i>
    <i t="default">
      <x v="63"/>
    </i>
    <i>
      <x v="64"/>
      <x v="1"/>
      <x v="510"/>
    </i>
    <i t="default" r="1">
      <x v="1"/>
    </i>
    <i t="default">
      <x v="64"/>
    </i>
    <i>
      <x v="65"/>
      <x v="6"/>
      <x v="426"/>
    </i>
    <i t="default" r="1">
      <x v="6"/>
    </i>
    <i t="default">
      <x v="65"/>
    </i>
    <i>
      <x v="66"/>
      <x v="1"/>
      <x v="46"/>
    </i>
    <i t="default" r="1">
      <x v="1"/>
    </i>
    <i t="default">
      <x v="66"/>
    </i>
    <i>
      <x v="67"/>
      <x v="4"/>
      <x v="104"/>
    </i>
    <i t="default" r="1">
      <x v="4"/>
    </i>
    <i t="default">
      <x v="67"/>
    </i>
    <i>
      <x v="68"/>
      <x v="6"/>
      <x v="454"/>
    </i>
    <i t="default" r="1">
      <x v="6"/>
    </i>
    <i t="default">
      <x v="68"/>
    </i>
    <i>
      <x v="69"/>
      <x v="5"/>
      <x v="185"/>
    </i>
    <i t="default" r="1">
      <x v="5"/>
    </i>
    <i t="default">
      <x v="69"/>
    </i>
    <i>
      <x v="70"/>
      <x v="5"/>
      <x v="259"/>
    </i>
    <i t="default" r="1">
      <x v="5"/>
    </i>
    <i t="default">
      <x v="70"/>
    </i>
    <i>
      <x v="71"/>
      <x v="4"/>
      <x v="27"/>
    </i>
    <i t="default" r="1">
      <x v="4"/>
    </i>
    <i t="default">
      <x v="71"/>
    </i>
    <i>
      <x v="72"/>
      <x v="2"/>
      <x v="194"/>
    </i>
    <i t="default" r="1">
      <x v="2"/>
    </i>
    <i t="default">
      <x v="72"/>
    </i>
    <i>
      <x v="73"/>
      <x v="5"/>
      <x v="467"/>
    </i>
    <i t="default" r="1">
      <x v="5"/>
    </i>
    <i t="default">
      <x v="73"/>
    </i>
    <i>
      <x v="74"/>
      <x v="2"/>
      <x v="569"/>
    </i>
    <i t="default" r="1">
      <x v="2"/>
    </i>
    <i t="default">
      <x v="74"/>
    </i>
    <i>
      <x v="75"/>
      <x v="5"/>
      <x v="291"/>
    </i>
    <i t="default" r="1">
      <x v="5"/>
    </i>
    <i t="default">
      <x v="75"/>
    </i>
    <i>
      <x v="76"/>
      <x v="6"/>
      <x v="88"/>
    </i>
    <i t="default" r="1">
      <x v="6"/>
    </i>
    <i t="default">
      <x v="76"/>
    </i>
    <i>
      <x v="77"/>
      <x v="6"/>
      <x v="139"/>
    </i>
    <i t="default" r="1">
      <x v="6"/>
    </i>
    <i t="default">
      <x v="77"/>
    </i>
    <i>
      <x v="78"/>
      <x v="1"/>
      <x v="290"/>
    </i>
    <i t="default" r="1">
      <x v="1"/>
    </i>
    <i t="default">
      <x v="78"/>
    </i>
    <i>
      <x v="79"/>
      <x v="5"/>
      <x v="271"/>
    </i>
    <i t="default" r="1">
      <x v="5"/>
    </i>
    <i t="default">
      <x v="79"/>
    </i>
    <i>
      <x v="80"/>
      <x v="5"/>
      <x v="192"/>
    </i>
    <i t="default" r="1">
      <x v="5"/>
    </i>
    <i t="default">
      <x v="80"/>
    </i>
    <i>
      <x v="81"/>
      <x v="4"/>
      <x v="434"/>
    </i>
    <i t="default" r="1">
      <x v="4"/>
    </i>
    <i t="default">
      <x v="81"/>
    </i>
    <i>
      <x v="82"/>
      <x/>
      <x v="232"/>
    </i>
    <i t="default" r="1">
      <x/>
    </i>
    <i t="default">
      <x v="82"/>
    </i>
    <i>
      <x v="83"/>
      <x v="5"/>
      <x v="256"/>
    </i>
    <i t="default" r="1">
      <x v="5"/>
    </i>
    <i t="default">
      <x v="83"/>
    </i>
    <i>
      <x v="84"/>
      <x v="5"/>
      <x v="584"/>
    </i>
    <i t="default" r="1">
      <x v="5"/>
    </i>
    <i t="default">
      <x v="84"/>
    </i>
    <i>
      <x v="85"/>
      <x v="1"/>
      <x v="393"/>
    </i>
    <i t="default" r="1">
      <x v="1"/>
    </i>
    <i t="default">
      <x v="85"/>
    </i>
    <i>
      <x v="86"/>
      <x v="5"/>
      <x v="50"/>
    </i>
    <i t="default" r="1">
      <x v="5"/>
    </i>
    <i t="default">
      <x v="86"/>
    </i>
    <i>
      <x v="87"/>
      <x v="5"/>
      <x v="574"/>
    </i>
    <i t="default" r="1">
      <x v="5"/>
    </i>
    <i t="default">
      <x v="87"/>
    </i>
    <i>
      <x v="88"/>
      <x v="5"/>
      <x v="275"/>
    </i>
    <i t="default" r="1">
      <x v="5"/>
    </i>
    <i t="default">
      <x v="88"/>
    </i>
    <i>
      <x v="89"/>
      <x v="2"/>
      <x v="253"/>
    </i>
    <i t="default" r="1">
      <x v="2"/>
    </i>
    <i t="default">
      <x v="89"/>
    </i>
    <i>
      <x v="90"/>
      <x/>
      <x v="69"/>
    </i>
    <i t="default" r="1">
      <x/>
    </i>
    <i t="default">
      <x v="90"/>
    </i>
    <i>
      <x v="91"/>
      <x v="3"/>
      <x v="24"/>
    </i>
    <i t="default" r="1">
      <x v="3"/>
    </i>
    <i t="default">
      <x v="91"/>
    </i>
    <i>
      <x v="92"/>
      <x v="3"/>
      <x v="427"/>
    </i>
    <i t="default" r="1">
      <x v="3"/>
    </i>
    <i t="default">
      <x v="92"/>
    </i>
    <i>
      <x v="93"/>
      <x v="1"/>
      <x v="368"/>
    </i>
    <i t="default" r="1">
      <x v="1"/>
    </i>
    <i t="default">
      <x v="93"/>
    </i>
    <i>
      <x v="94"/>
      <x v="4"/>
      <x v="225"/>
    </i>
    <i t="default" r="1">
      <x v="4"/>
    </i>
    <i t="default">
      <x v="94"/>
    </i>
    <i>
      <x v="95"/>
      <x v="2"/>
      <x v="55"/>
    </i>
    <i t="default" r="1">
      <x v="2"/>
    </i>
    <i t="default">
      <x v="95"/>
    </i>
    <i>
      <x v="96"/>
      <x v="1"/>
      <x v="33"/>
    </i>
    <i t="default" r="1">
      <x v="1"/>
    </i>
    <i t="default">
      <x v="96"/>
    </i>
    <i>
      <x v="97"/>
      <x/>
      <x v="332"/>
    </i>
    <i t="default" r="1">
      <x/>
    </i>
    <i t="default">
      <x v="97"/>
    </i>
    <i>
      <x v="98"/>
      <x v="4"/>
      <x v="503"/>
    </i>
    <i t="default" r="1">
      <x v="4"/>
    </i>
    <i t="default">
      <x v="98"/>
    </i>
    <i>
      <x v="99"/>
      <x/>
      <x v="338"/>
    </i>
    <i t="default" r="1">
      <x/>
    </i>
    <i t="default">
      <x v="99"/>
    </i>
    <i>
      <x v="100"/>
      <x v="2"/>
      <x v="312"/>
    </i>
    <i t="default" r="1">
      <x v="2"/>
    </i>
    <i t="default">
      <x v="100"/>
    </i>
    <i>
      <x v="101"/>
      <x v="5"/>
      <x v="283"/>
    </i>
    <i t="default" r="1">
      <x v="5"/>
    </i>
    <i t="default">
      <x v="101"/>
    </i>
    <i>
      <x v="102"/>
      <x v="3"/>
      <x v="179"/>
    </i>
    <i t="default" r="1">
      <x v="3"/>
    </i>
    <i t="default">
      <x v="102"/>
    </i>
    <i>
      <x v="103"/>
      <x/>
      <x v="516"/>
    </i>
    <i t="default" r="1">
      <x/>
    </i>
    <i t="default">
      <x v="103"/>
    </i>
    <i>
      <x v="104"/>
      <x v="4"/>
      <x v="560"/>
    </i>
    <i t="default" r="1">
      <x v="4"/>
    </i>
    <i t="default">
      <x v="104"/>
    </i>
    <i>
      <x v="105"/>
      <x v="3"/>
      <x v="45"/>
    </i>
    <i t="default" r="1">
      <x v="3"/>
    </i>
    <i t="default">
      <x v="105"/>
    </i>
    <i>
      <x v="106"/>
      <x v="6"/>
      <x v="575"/>
    </i>
    <i t="default" r="1">
      <x v="6"/>
    </i>
    <i t="default">
      <x v="106"/>
    </i>
    <i>
      <x v="107"/>
      <x v="1"/>
      <x v="241"/>
    </i>
    <i t="default" r="1">
      <x v="1"/>
    </i>
    <i t="default">
      <x v="107"/>
    </i>
    <i>
      <x v="108"/>
      <x v="3"/>
      <x v="134"/>
    </i>
    <i t="default" r="1">
      <x v="3"/>
    </i>
    <i t="default">
      <x v="108"/>
    </i>
    <i>
      <x v="109"/>
      <x v="2"/>
      <x v="469"/>
    </i>
    <i t="default" r="1">
      <x v="2"/>
    </i>
    <i t="default">
      <x v="109"/>
    </i>
    <i>
      <x v="110"/>
      <x v="5"/>
      <x v="346"/>
    </i>
    <i t="default" r="1">
      <x v="5"/>
    </i>
    <i t="default">
      <x v="110"/>
    </i>
    <i>
      <x v="111"/>
      <x v="4"/>
      <x v="580"/>
    </i>
    <i t="default" r="1">
      <x v="4"/>
    </i>
    <i t="default">
      <x v="111"/>
    </i>
    <i>
      <x v="112"/>
      <x/>
      <x v="501"/>
    </i>
    <i t="default" r="1">
      <x/>
    </i>
    <i t="default">
      <x v="112"/>
    </i>
    <i>
      <x v="113"/>
      <x v="3"/>
      <x v="14"/>
    </i>
    <i t="default" r="1">
      <x v="3"/>
    </i>
    <i t="default">
      <x v="113"/>
    </i>
    <i>
      <x v="114"/>
      <x v="3"/>
      <x v="345"/>
    </i>
    <i t="default" r="1">
      <x v="3"/>
    </i>
    <i t="default">
      <x v="114"/>
    </i>
    <i>
      <x v="115"/>
      <x v="6"/>
      <x v="482"/>
    </i>
    <i t="default" r="1">
      <x v="6"/>
    </i>
    <i t="default">
      <x v="115"/>
    </i>
    <i>
      <x v="116"/>
      <x v="5"/>
      <x v="274"/>
    </i>
    <i t="default" r="1">
      <x v="5"/>
    </i>
    <i t="default">
      <x v="116"/>
    </i>
    <i>
      <x v="117"/>
      <x v="3"/>
      <x v="448"/>
    </i>
    <i t="default" r="1">
      <x v="3"/>
    </i>
    <i t="default">
      <x v="117"/>
    </i>
    <i>
      <x v="118"/>
      <x/>
      <x v="474"/>
    </i>
    <i t="default" r="1">
      <x/>
    </i>
    <i t="default">
      <x v="118"/>
    </i>
    <i>
      <x v="119"/>
      <x v="3"/>
      <x v="297"/>
    </i>
    <i t="default" r="1">
      <x v="3"/>
    </i>
    <i t="default">
      <x v="119"/>
    </i>
    <i>
      <x v="120"/>
      <x v="4"/>
      <x v="83"/>
    </i>
    <i t="default" r="1">
      <x v="4"/>
    </i>
    <i t="default">
      <x v="120"/>
    </i>
    <i>
      <x v="121"/>
      <x v="2"/>
      <x v="497"/>
    </i>
    <i t="default" r="1">
      <x v="2"/>
    </i>
    <i t="default">
      <x v="121"/>
    </i>
    <i>
      <x v="122"/>
      <x v="6"/>
      <x v="239"/>
    </i>
    <i t="default" r="1">
      <x v="6"/>
    </i>
    <i t="default">
      <x v="122"/>
    </i>
    <i>
      <x v="123"/>
      <x v="6"/>
      <x v="141"/>
    </i>
    <i t="default" r="1">
      <x v="6"/>
    </i>
    <i t="default">
      <x v="123"/>
    </i>
    <i>
      <x v="124"/>
      <x/>
      <x v="101"/>
    </i>
    <i t="default" r="1">
      <x/>
    </i>
    <i t="default">
      <x v="124"/>
    </i>
    <i>
      <x v="125"/>
      <x v="2"/>
      <x v="110"/>
    </i>
    <i t="default" r="1">
      <x v="2"/>
    </i>
    <i t="default">
      <x v="125"/>
    </i>
    <i>
      <x v="126"/>
      <x v="5"/>
      <x v="54"/>
    </i>
    <i t="default" r="1">
      <x v="5"/>
    </i>
    <i t="default">
      <x v="126"/>
    </i>
    <i>
      <x v="127"/>
      <x v="4"/>
      <x v="176"/>
    </i>
    <i t="default" r="1">
      <x v="4"/>
    </i>
    <i t="default">
      <x v="127"/>
    </i>
    <i>
      <x v="128"/>
      <x v="3"/>
      <x v="40"/>
    </i>
    <i t="default" r="1">
      <x v="3"/>
    </i>
    <i t="default">
      <x v="128"/>
    </i>
    <i>
      <x v="129"/>
      <x v="1"/>
      <x v="288"/>
    </i>
    <i t="default" r="1">
      <x v="1"/>
    </i>
    <i t="default">
      <x v="129"/>
    </i>
    <i>
      <x v="130"/>
      <x v="3"/>
      <x v="315"/>
    </i>
    <i t="default" r="1">
      <x v="3"/>
    </i>
    <i t="default">
      <x v="130"/>
    </i>
    <i>
      <x v="131"/>
      <x/>
      <x v="298"/>
    </i>
    <i t="default" r="1">
      <x/>
    </i>
    <i t="default">
      <x v="131"/>
    </i>
    <i>
      <x v="132"/>
      <x v="6"/>
      <x v="515"/>
    </i>
    <i t="default" r="1">
      <x v="6"/>
    </i>
    <i t="default">
      <x v="132"/>
    </i>
    <i>
      <x v="133"/>
      <x v="1"/>
      <x v="479"/>
    </i>
    <i t="default" r="1">
      <x v="1"/>
    </i>
    <i t="default">
      <x v="133"/>
    </i>
    <i>
      <x v="134"/>
      <x v="2"/>
      <x v="282"/>
    </i>
    <i t="default" r="1">
      <x v="2"/>
    </i>
    <i t="default">
      <x v="134"/>
    </i>
    <i>
      <x v="135"/>
      <x v="3"/>
      <x v="371"/>
    </i>
    <i t="default" r="1">
      <x v="3"/>
    </i>
    <i t="default">
      <x v="135"/>
    </i>
    <i>
      <x v="136"/>
      <x v="5"/>
      <x v="126"/>
    </i>
    <i t="default" r="1">
      <x v="5"/>
    </i>
    <i t="default">
      <x v="136"/>
    </i>
    <i>
      <x v="137"/>
      <x v="3"/>
      <x v="476"/>
    </i>
    <i t="default" r="1">
      <x v="3"/>
    </i>
    <i t="default">
      <x v="137"/>
    </i>
    <i>
      <x v="138"/>
      <x v="1"/>
      <x v="408"/>
    </i>
    <i t="default" r="1">
      <x v="1"/>
    </i>
    <i t="default">
      <x v="138"/>
    </i>
    <i>
      <x v="139"/>
      <x v="5"/>
      <x v="309"/>
    </i>
    <i t="default" r="1">
      <x v="5"/>
    </i>
    <i t="default">
      <x v="139"/>
    </i>
    <i>
      <x v="140"/>
      <x v="4"/>
      <x v="32"/>
    </i>
    <i t="default" r="1">
      <x v="4"/>
    </i>
    <i t="default">
      <x v="140"/>
    </i>
    <i>
      <x v="141"/>
      <x v="5"/>
      <x v="587"/>
    </i>
    <i t="default" r="1">
      <x v="5"/>
    </i>
    <i t="default">
      <x v="141"/>
    </i>
    <i>
      <x v="142"/>
      <x v="6"/>
      <x v="354"/>
    </i>
    <i t="default" r="1">
      <x v="6"/>
    </i>
    <i t="default">
      <x v="142"/>
    </i>
    <i>
      <x v="143"/>
      <x v="1"/>
      <x v="279"/>
    </i>
    <i t="default" r="1">
      <x v="1"/>
    </i>
    <i t="default">
      <x v="143"/>
    </i>
    <i>
      <x v="144"/>
      <x v="5"/>
      <x v="421"/>
    </i>
    <i t="default" r="1">
      <x v="5"/>
    </i>
    <i t="default">
      <x v="144"/>
    </i>
    <i>
      <x v="145"/>
      <x v="6"/>
      <x v="215"/>
    </i>
    <i t="default" r="1">
      <x v="6"/>
    </i>
    <i t="default">
      <x v="145"/>
    </i>
    <i>
      <x v="146"/>
      <x v="4"/>
      <x v="351"/>
    </i>
    <i t="default" r="1">
      <x v="4"/>
    </i>
    <i t="default">
      <x v="146"/>
    </i>
    <i>
      <x v="147"/>
      <x/>
      <x v="43"/>
    </i>
    <i t="default" r="1">
      <x/>
    </i>
    <i t="default">
      <x v="147"/>
    </i>
    <i>
      <x v="148"/>
      <x/>
      <x v="127"/>
    </i>
    <i t="default" r="1">
      <x/>
    </i>
    <i t="default">
      <x v="148"/>
    </i>
    <i>
      <x v="149"/>
      <x/>
      <x v="13"/>
    </i>
    <i t="default" r="1">
      <x/>
    </i>
    <i t="default">
      <x v="149"/>
    </i>
    <i>
      <x v="150"/>
      <x v="4"/>
      <x v="586"/>
    </i>
    <i t="default" r="1">
      <x v="4"/>
    </i>
    <i t="default">
      <x v="150"/>
    </i>
    <i>
      <x v="151"/>
      <x v="6"/>
      <x v="429"/>
    </i>
    <i t="default" r="1">
      <x v="6"/>
    </i>
    <i t="default">
      <x v="151"/>
    </i>
    <i>
      <x v="152"/>
      <x v="6"/>
      <x v="144"/>
    </i>
    <i t="default" r="1">
      <x v="6"/>
    </i>
    <i t="default">
      <x v="152"/>
    </i>
    <i>
      <x v="153"/>
      <x v="6"/>
      <x v="489"/>
    </i>
    <i t="default" r="1">
      <x v="6"/>
    </i>
    <i t="default">
      <x v="153"/>
    </i>
    <i>
      <x v="154"/>
      <x v="2"/>
      <x v="428"/>
    </i>
    <i t="default" r="1">
      <x v="2"/>
    </i>
    <i t="default">
      <x v="154"/>
    </i>
    <i>
      <x v="155"/>
      <x v="6"/>
      <x v="300"/>
    </i>
    <i t="default" r="1">
      <x v="6"/>
    </i>
    <i t="default">
      <x v="155"/>
    </i>
    <i>
      <x v="156"/>
      <x v="6"/>
      <x v="348"/>
    </i>
    <i t="default" r="1">
      <x v="6"/>
    </i>
    <i t="default">
      <x v="156"/>
    </i>
    <i>
      <x v="157"/>
      <x v="4"/>
      <x v="21"/>
    </i>
    <i t="default" r="1">
      <x v="4"/>
    </i>
    <i t="default">
      <x v="157"/>
    </i>
    <i>
      <x v="158"/>
      <x v="6"/>
      <x v="406"/>
    </i>
    <i t="default" r="1">
      <x v="6"/>
    </i>
    <i t="default">
      <x v="158"/>
    </i>
    <i>
      <x v="159"/>
      <x v="2"/>
      <x v="202"/>
    </i>
    <i t="default" r="1">
      <x v="2"/>
    </i>
    <i t="default">
      <x v="159"/>
    </i>
    <i>
      <x v="160"/>
      <x v="2"/>
      <x v="402"/>
    </i>
    <i t="default" r="1">
      <x v="2"/>
    </i>
    <i t="default">
      <x v="160"/>
    </i>
    <i>
      <x v="161"/>
      <x v="1"/>
      <x v="344"/>
    </i>
    <i t="default" r="1">
      <x v="1"/>
    </i>
    <i t="default">
      <x v="161"/>
    </i>
    <i>
      <x v="162"/>
      <x/>
      <x v="17"/>
    </i>
    <i t="default" r="1">
      <x/>
    </i>
    <i t="default">
      <x v="162"/>
    </i>
    <i>
      <x v="163"/>
      <x v="5"/>
      <x v="302"/>
    </i>
    <i t="default" r="1">
      <x v="5"/>
    </i>
    <i t="default">
      <x v="163"/>
    </i>
    <i>
      <x v="164"/>
      <x/>
      <x v="173"/>
    </i>
    <i t="default" r="1">
      <x/>
    </i>
    <i t="default">
      <x v="164"/>
    </i>
    <i>
      <x v="165"/>
      <x v="3"/>
      <x v="535"/>
    </i>
    <i t="default" r="1">
      <x v="3"/>
    </i>
    <i t="default">
      <x v="165"/>
    </i>
    <i>
      <x v="166"/>
      <x/>
      <x v="206"/>
    </i>
    <i t="default" r="1">
      <x/>
    </i>
    <i t="default">
      <x v="166"/>
    </i>
    <i>
      <x v="167"/>
      <x v="3"/>
      <x v="443"/>
    </i>
    <i t="default" r="1">
      <x v="3"/>
    </i>
    <i t="default">
      <x v="167"/>
    </i>
    <i>
      <x v="168"/>
      <x v="4"/>
      <x v="460"/>
    </i>
    <i t="default" r="1">
      <x v="4"/>
    </i>
    <i t="default">
      <x v="168"/>
    </i>
    <i>
      <x v="169"/>
      <x v="5"/>
      <x v="520"/>
    </i>
    <i t="default" r="1">
      <x v="5"/>
    </i>
    <i t="default">
      <x v="169"/>
    </i>
    <i>
      <x v="170"/>
      <x v="1"/>
      <x v="295"/>
    </i>
    <i t="default" r="1">
      <x v="1"/>
    </i>
    <i t="default">
      <x v="170"/>
    </i>
    <i>
      <x v="171"/>
      <x v="3"/>
      <x v="488"/>
    </i>
    <i t="default" r="1">
      <x v="3"/>
    </i>
    <i t="default">
      <x v="171"/>
    </i>
    <i>
      <x v="172"/>
      <x v="3"/>
      <x v="28"/>
    </i>
    <i t="default" r="1">
      <x v="3"/>
    </i>
    <i t="default">
      <x v="172"/>
    </i>
    <i>
      <x v="173"/>
      <x v="1"/>
      <x v="163"/>
    </i>
    <i t="default" r="1">
      <x v="1"/>
    </i>
    <i t="default">
      <x v="173"/>
    </i>
    <i>
      <x v="174"/>
      <x v="5"/>
      <x v="268"/>
    </i>
    <i t="default" r="1">
      <x v="5"/>
    </i>
    <i t="default">
      <x v="174"/>
    </i>
    <i>
      <x v="175"/>
      <x v="4"/>
      <x v="166"/>
    </i>
    <i t="default" r="1">
      <x v="4"/>
    </i>
    <i t="default">
      <x v="175"/>
    </i>
    <i>
      <x v="176"/>
      <x v="2"/>
      <x v="394"/>
    </i>
    <i t="default" r="1">
      <x v="2"/>
    </i>
    <i t="default">
      <x v="176"/>
    </i>
    <i>
      <x v="177"/>
      <x v="1"/>
      <x v="120"/>
    </i>
    <i t="default" r="1">
      <x v="1"/>
    </i>
    <i t="default">
      <x v="177"/>
    </i>
    <i>
      <x v="178"/>
      <x v="2"/>
      <x v="187"/>
    </i>
    <i t="default" r="1">
      <x v="2"/>
    </i>
    <i t="default">
      <x v="178"/>
    </i>
    <i>
      <x v="179"/>
      <x v="6"/>
      <x v="138"/>
    </i>
    <i t="default" r="1">
      <x v="6"/>
    </i>
    <i t="default">
      <x v="179"/>
    </i>
    <i>
      <x v="180"/>
      <x v="5"/>
      <x v="379"/>
    </i>
    <i t="default" r="1">
      <x v="5"/>
    </i>
    <i t="default">
      <x v="180"/>
    </i>
    <i>
      <x v="181"/>
      <x v="2"/>
      <x v="551"/>
    </i>
    <i t="default" r="1">
      <x v="2"/>
    </i>
    <i t="default">
      <x v="181"/>
    </i>
    <i>
      <x v="182"/>
      <x v="4"/>
      <x v="519"/>
    </i>
    <i t="default" r="1">
      <x v="4"/>
    </i>
    <i t="default">
      <x v="182"/>
    </i>
    <i>
      <x v="183"/>
      <x v="6"/>
      <x v="509"/>
    </i>
    <i t="default" r="1">
      <x v="6"/>
    </i>
    <i t="default">
      <x v="183"/>
    </i>
    <i>
      <x v="184"/>
      <x v="4"/>
      <x v="390"/>
    </i>
    <i t="default" r="1">
      <x v="4"/>
    </i>
    <i t="default">
      <x v="184"/>
    </i>
    <i>
      <x v="185"/>
      <x v="2"/>
      <x v="508"/>
    </i>
    <i t="default" r="1">
      <x v="2"/>
    </i>
    <i t="default">
      <x v="185"/>
    </i>
    <i>
      <x v="186"/>
      <x/>
      <x v="457"/>
    </i>
    <i t="default" r="1">
      <x/>
    </i>
    <i t="default">
      <x v="186"/>
    </i>
    <i>
      <x v="187"/>
      <x v="1"/>
      <x v="122"/>
    </i>
    <i t="default" r="1">
      <x v="1"/>
    </i>
    <i t="default">
      <x v="187"/>
    </i>
    <i>
      <x v="188"/>
      <x v="3"/>
      <x v="387"/>
    </i>
    <i t="default" r="1">
      <x v="3"/>
    </i>
    <i t="default">
      <x v="188"/>
    </i>
    <i>
      <x v="189"/>
      <x v="4"/>
      <x v="360"/>
    </i>
    <i t="default" r="1">
      <x v="4"/>
    </i>
    <i t="default">
      <x v="189"/>
    </i>
    <i>
      <x v="190"/>
      <x v="6"/>
      <x v="487"/>
    </i>
    <i t="default" r="1">
      <x v="6"/>
    </i>
    <i t="default">
      <x v="190"/>
    </i>
    <i>
      <x v="191"/>
      <x v="5"/>
      <x v="109"/>
    </i>
    <i t="default" r="1">
      <x v="5"/>
    </i>
    <i t="default">
      <x v="191"/>
    </i>
    <i>
      <x v="192"/>
      <x v="4"/>
      <x v="67"/>
    </i>
    <i t="default" r="1">
      <x v="4"/>
    </i>
    <i t="default">
      <x v="192"/>
    </i>
    <i>
      <x v="193"/>
      <x v="4"/>
      <x v="210"/>
    </i>
    <i t="default" r="1">
      <x v="4"/>
    </i>
    <i t="default">
      <x v="193"/>
    </i>
    <i>
      <x v="194"/>
      <x v="4"/>
      <x v="318"/>
    </i>
    <i t="default" r="1">
      <x v="4"/>
    </i>
    <i t="default">
      <x v="194"/>
    </i>
    <i>
      <x v="195"/>
      <x v="6"/>
      <x v="97"/>
    </i>
    <i t="default" r="1">
      <x v="6"/>
    </i>
    <i t="default">
      <x v="195"/>
    </i>
    <i>
      <x v="196"/>
      <x v="2"/>
      <x v="499"/>
    </i>
    <i t="default" r="1">
      <x v="2"/>
    </i>
    <i t="default">
      <x v="196"/>
    </i>
    <i>
      <x v="197"/>
      <x v="6"/>
      <x v="47"/>
    </i>
    <i t="default" r="1">
      <x v="6"/>
    </i>
    <i t="default">
      <x v="197"/>
    </i>
    <i>
      <x v="198"/>
      <x v="6"/>
      <x v="31"/>
    </i>
    <i t="default" r="1">
      <x v="6"/>
    </i>
    <i t="default">
      <x v="198"/>
    </i>
    <i>
      <x v="199"/>
      <x v="5"/>
      <x v="58"/>
    </i>
    <i t="default" r="1">
      <x v="5"/>
    </i>
    <i t="default">
      <x v="199"/>
    </i>
    <i>
      <x v="200"/>
      <x v="3"/>
      <x v="558"/>
    </i>
    <i t="default" r="1">
      <x v="3"/>
    </i>
    <i t="default">
      <x v="200"/>
    </i>
    <i>
      <x v="201"/>
      <x/>
      <x v="108"/>
    </i>
    <i t="default" r="1">
      <x/>
    </i>
    <i t="default">
      <x v="201"/>
    </i>
    <i>
      <x v="202"/>
      <x v="1"/>
      <x v="567"/>
    </i>
    <i t="default" r="1">
      <x v="1"/>
    </i>
    <i t="default">
      <x v="202"/>
    </i>
    <i>
      <x v="203"/>
      <x/>
      <x v="357"/>
    </i>
    <i t="default" r="1">
      <x/>
    </i>
    <i t="default">
      <x v="203"/>
    </i>
    <i>
      <x v="204"/>
      <x v="1"/>
      <x v="370"/>
    </i>
    <i t="default" r="1">
      <x v="1"/>
    </i>
    <i t="default">
      <x v="204"/>
    </i>
    <i>
      <x v="205"/>
      <x v="1"/>
      <x v="99"/>
    </i>
    <i t="default" r="1">
      <x v="1"/>
    </i>
    <i t="default">
      <x v="205"/>
    </i>
    <i>
      <x v="206"/>
      <x v="6"/>
      <x v="533"/>
    </i>
    <i t="default" r="1">
      <x v="6"/>
    </i>
    <i t="default">
      <x v="206"/>
    </i>
    <i>
      <x v="207"/>
      <x v="2"/>
      <x v="572"/>
    </i>
    <i t="default" r="1">
      <x v="2"/>
    </i>
    <i t="default">
      <x v="207"/>
    </i>
    <i>
      <x v="208"/>
      <x v="2"/>
      <x v="484"/>
    </i>
    <i t="default" r="1">
      <x v="2"/>
    </i>
    <i t="default">
      <x v="208"/>
    </i>
    <i>
      <x v="209"/>
      <x v="4"/>
      <x v="465"/>
    </i>
    <i t="default" r="1">
      <x v="4"/>
    </i>
    <i t="default">
      <x v="209"/>
    </i>
    <i>
      <x v="210"/>
      <x/>
      <x v="149"/>
    </i>
    <i t="default" r="1">
      <x/>
    </i>
    <i t="default">
      <x v="210"/>
    </i>
    <i>
      <x v="211"/>
      <x v="5"/>
      <x v="193"/>
    </i>
    <i t="default" r="1">
      <x v="5"/>
    </i>
    <i t="default">
      <x v="211"/>
    </i>
    <i>
      <x v="212"/>
      <x v="1"/>
      <x v="252"/>
    </i>
    <i t="default" r="1">
      <x v="1"/>
    </i>
    <i t="default">
      <x v="212"/>
    </i>
    <i>
      <x v="213"/>
      <x v="1"/>
      <x v="296"/>
    </i>
    <i t="default" r="1">
      <x v="1"/>
    </i>
    <i t="default">
      <x v="213"/>
    </i>
    <i>
      <x v="214"/>
      <x v="5"/>
      <x v="265"/>
    </i>
    <i t="default" r="1">
      <x v="5"/>
    </i>
    <i t="default">
      <x v="214"/>
    </i>
    <i>
      <x v="215"/>
      <x v="2"/>
      <x v="81"/>
    </i>
    <i t="default" r="1">
      <x v="2"/>
    </i>
    <i t="default">
      <x v="215"/>
    </i>
    <i>
      <x v="216"/>
      <x v="2"/>
      <x v="74"/>
    </i>
    <i t="default" r="1">
      <x v="2"/>
    </i>
    <i t="default">
      <x v="216"/>
    </i>
    <i>
      <x v="217"/>
      <x v="5"/>
      <x v="5"/>
    </i>
    <i t="default" r="1">
      <x v="5"/>
    </i>
    <i t="default">
      <x v="217"/>
    </i>
    <i>
      <x v="218"/>
      <x/>
      <x v="100"/>
    </i>
    <i t="default" r="1">
      <x/>
    </i>
    <i t="default">
      <x v="218"/>
    </i>
    <i>
      <x v="219"/>
      <x v="2"/>
      <x v="80"/>
    </i>
    <i t="default" r="1">
      <x v="2"/>
    </i>
    <i t="default">
      <x v="219"/>
    </i>
    <i>
      <x v="220"/>
      <x v="2"/>
      <x v="87"/>
    </i>
    <i t="default" r="1">
      <x v="2"/>
    </i>
    <i t="default">
      <x v="220"/>
    </i>
    <i>
      <x v="221"/>
      <x v="1"/>
      <x v="162"/>
    </i>
    <i t="default" r="1">
      <x v="1"/>
    </i>
    <i t="default">
      <x v="221"/>
    </i>
    <i>
      <x v="222"/>
      <x v="5"/>
      <x v="439"/>
    </i>
    <i t="default" r="1">
      <x v="5"/>
    </i>
    <i t="default">
      <x v="222"/>
    </i>
    <i>
      <x v="223"/>
      <x v="5"/>
      <x v="552"/>
    </i>
    <i t="default" r="1">
      <x v="5"/>
    </i>
    <i t="default">
      <x v="223"/>
    </i>
    <i>
      <x v="224"/>
      <x v="2"/>
      <x v="299"/>
    </i>
    <i t="default" r="1">
      <x v="2"/>
    </i>
    <i t="default">
      <x v="224"/>
    </i>
    <i>
      <x v="225"/>
      <x v="1"/>
      <x v="462"/>
    </i>
    <i t="default" r="1">
      <x v="1"/>
    </i>
    <i t="default">
      <x v="225"/>
    </i>
    <i>
      <x v="226"/>
      <x v="4"/>
      <x v="86"/>
    </i>
    <i t="default" r="1">
      <x v="4"/>
    </i>
    <i t="default">
      <x v="226"/>
    </i>
    <i>
      <x v="227"/>
      <x v="3"/>
      <x v="8"/>
    </i>
    <i t="default" r="1">
      <x v="3"/>
    </i>
    <i t="default">
      <x v="227"/>
    </i>
    <i>
      <x v="228"/>
      <x v="6"/>
      <x v="205"/>
    </i>
    <i t="default" r="1">
      <x v="6"/>
    </i>
    <i t="default">
      <x v="228"/>
    </i>
    <i>
      <x v="229"/>
      <x v="5"/>
      <x v="555"/>
    </i>
    <i t="default" r="1">
      <x v="5"/>
    </i>
    <i t="default">
      <x v="229"/>
    </i>
    <i>
      <x v="230"/>
      <x v="5"/>
      <x v="365"/>
    </i>
    <i t="default" r="1">
      <x v="5"/>
    </i>
    <i t="default">
      <x v="230"/>
    </i>
    <i>
      <x v="231"/>
      <x v="3"/>
      <x v="493"/>
    </i>
    <i t="default" r="1">
      <x v="3"/>
    </i>
    <i t="default">
      <x v="231"/>
    </i>
    <i>
      <x v="232"/>
      <x v="5"/>
      <x v="231"/>
    </i>
    <i t="default" r="1">
      <x v="5"/>
    </i>
    <i t="default">
      <x v="232"/>
    </i>
    <i>
      <x v="233"/>
      <x v="1"/>
      <x v="481"/>
    </i>
    <i t="default" r="1">
      <x v="1"/>
    </i>
    <i t="default">
      <x v="233"/>
    </i>
    <i>
      <x v="234"/>
      <x/>
      <x v="156"/>
    </i>
    <i t="default" r="1">
      <x/>
    </i>
    <i t="default">
      <x v="234"/>
    </i>
    <i>
      <x v="235"/>
      <x v="4"/>
      <x v="422"/>
    </i>
    <i t="default" r="1">
      <x v="4"/>
    </i>
    <i t="default">
      <x v="235"/>
    </i>
    <i>
      <x v="236"/>
      <x v="6"/>
      <x v="15"/>
    </i>
    <i t="default" r="1">
      <x v="6"/>
    </i>
    <i t="default">
      <x v="236"/>
    </i>
    <i>
      <x v="237"/>
      <x v="5"/>
      <x v="389"/>
    </i>
    <i t="default" r="1">
      <x v="5"/>
    </i>
    <i t="default">
      <x v="237"/>
    </i>
    <i>
      <x v="238"/>
      <x v="5"/>
      <x v="411"/>
    </i>
    <i t="default" r="1">
      <x v="5"/>
    </i>
    <i t="default">
      <x v="238"/>
    </i>
    <i>
      <x v="239"/>
      <x v="6"/>
      <x v="498"/>
    </i>
    <i t="default" r="1">
      <x v="6"/>
    </i>
    <i t="default">
      <x v="239"/>
    </i>
    <i>
      <x v="240"/>
      <x v="6"/>
      <x v="29"/>
    </i>
    <i t="default" r="1">
      <x v="6"/>
    </i>
    <i t="default">
      <x v="240"/>
    </i>
    <i>
      <x v="241"/>
      <x v="6"/>
      <x v="121"/>
    </i>
    <i t="default" r="1">
      <x v="6"/>
    </i>
    <i t="default">
      <x v="241"/>
    </i>
    <i>
      <x v="242"/>
      <x v="6"/>
      <x v="82"/>
    </i>
    <i t="default" r="1">
      <x v="6"/>
    </i>
    <i t="default">
      <x v="242"/>
    </i>
    <i>
      <x v="243"/>
      <x v="6"/>
      <x v="333"/>
    </i>
    <i t="default" r="1">
      <x v="6"/>
    </i>
    <i t="default">
      <x v="243"/>
    </i>
    <i>
      <x v="244"/>
      <x v="3"/>
      <x v="119"/>
    </i>
    <i t="default" r="1">
      <x v="3"/>
    </i>
    <i t="default">
      <x v="244"/>
    </i>
    <i>
      <x v="245"/>
      <x v="4"/>
      <x v="125"/>
    </i>
    <i t="default" r="1">
      <x v="4"/>
    </i>
    <i t="default">
      <x v="245"/>
    </i>
    <i>
      <x v="246"/>
      <x v="2"/>
      <x v="459"/>
    </i>
    <i t="default" r="1">
      <x v="2"/>
    </i>
    <i t="default">
      <x v="246"/>
    </i>
    <i>
      <x v="247"/>
      <x v="5"/>
      <x v="438"/>
    </i>
    <i t="default" r="1">
      <x v="5"/>
    </i>
    <i t="default">
      <x v="247"/>
    </i>
    <i>
      <x v="248"/>
      <x v="4"/>
      <x v="355"/>
    </i>
    <i t="default" r="1">
      <x v="4"/>
    </i>
    <i t="default">
      <x v="248"/>
    </i>
    <i>
      <x v="249"/>
      <x v="6"/>
      <x v="471"/>
    </i>
    <i t="default" r="1">
      <x v="6"/>
    </i>
    <i t="default">
      <x v="249"/>
    </i>
    <i>
      <x v="250"/>
      <x v="6"/>
      <x v="52"/>
    </i>
    <i t="default" r="1">
      <x v="6"/>
    </i>
    <i t="default">
      <x v="250"/>
    </i>
    <i>
      <x v="251"/>
      <x v="1"/>
      <x v="321"/>
    </i>
    <i t="default" r="1">
      <x v="1"/>
    </i>
    <i t="default">
      <x v="251"/>
    </i>
    <i>
      <x v="252"/>
      <x/>
      <x v="526"/>
    </i>
    <i t="default" r="1">
      <x/>
    </i>
    <i t="default">
      <x v="252"/>
    </i>
    <i>
      <x v="253"/>
      <x v="1"/>
      <x v="234"/>
    </i>
    <i t="default" r="1">
      <x v="1"/>
    </i>
    <i t="default">
      <x v="253"/>
    </i>
    <i>
      <x v="254"/>
      <x v="6"/>
      <x v="477"/>
    </i>
    <i t="default" r="1">
      <x v="6"/>
    </i>
    <i t="default">
      <x v="254"/>
    </i>
    <i>
      <x v="255"/>
      <x/>
      <x v="66"/>
    </i>
    <i t="default" r="1">
      <x/>
    </i>
    <i t="default">
      <x v="255"/>
    </i>
    <i>
      <x v="256"/>
      <x v="5"/>
      <x v="146"/>
    </i>
    <i t="default" r="1">
      <x v="5"/>
    </i>
    <i t="default">
      <x v="256"/>
    </i>
    <i>
      <x v="257"/>
      <x v="1"/>
      <x v="169"/>
    </i>
    <i t="default" r="1">
      <x v="1"/>
    </i>
    <i t="default">
      <x v="257"/>
    </i>
    <i>
      <x v="258"/>
      <x v="3"/>
      <x v="10"/>
    </i>
    <i t="default" r="1">
      <x v="3"/>
    </i>
    <i t="default">
      <x v="258"/>
    </i>
    <i>
      <x v="259"/>
      <x v="2"/>
      <x v="415"/>
    </i>
    <i t="default" r="1">
      <x v="2"/>
    </i>
    <i t="default">
      <x v="259"/>
    </i>
    <i>
      <x v="260"/>
      <x v="1"/>
      <x v="534"/>
    </i>
    <i t="default" r="1">
      <x v="1"/>
    </i>
    <i t="default">
      <x v="260"/>
    </i>
    <i>
      <x v="261"/>
      <x v="2"/>
      <x v="150"/>
    </i>
    <i t="default" r="1">
      <x v="2"/>
    </i>
    <i t="default">
      <x v="261"/>
    </i>
    <i>
      <x v="262"/>
      <x v="4"/>
      <x v="140"/>
    </i>
    <i t="default" r="1">
      <x v="4"/>
    </i>
    <i t="default">
      <x v="262"/>
    </i>
    <i>
      <x v="263"/>
      <x v="6"/>
      <x v="178"/>
    </i>
    <i t="default" r="1">
      <x v="6"/>
    </i>
    <i t="default">
      <x v="263"/>
    </i>
    <i>
      <x v="264"/>
      <x v="6"/>
      <x v="339"/>
    </i>
    <i t="default" r="1">
      <x v="6"/>
    </i>
    <i t="default">
      <x v="264"/>
    </i>
    <i>
      <x v="265"/>
      <x v="5"/>
      <x v="372"/>
    </i>
    <i t="default" r="1">
      <x v="5"/>
    </i>
    <i t="default">
      <x v="265"/>
    </i>
    <i>
      <x v="266"/>
      <x v="4"/>
      <x v="468"/>
    </i>
    <i t="default" r="1">
      <x v="4"/>
    </i>
    <i t="default">
      <x v="266"/>
    </i>
    <i>
      <x v="267"/>
      <x v="5"/>
      <x v="543"/>
    </i>
    <i t="default" r="1">
      <x v="5"/>
    </i>
    <i t="default">
      <x v="267"/>
    </i>
    <i>
      <x v="268"/>
      <x v="2"/>
      <x v="159"/>
    </i>
    <i t="default" r="1">
      <x v="2"/>
    </i>
    <i t="default">
      <x v="268"/>
    </i>
    <i>
      <x v="269"/>
      <x v="3"/>
      <x v="132"/>
    </i>
    <i t="default" r="1">
      <x v="3"/>
    </i>
    <i t="default">
      <x v="269"/>
    </i>
    <i>
      <x v="270"/>
      <x v="4"/>
      <x v="424"/>
    </i>
    <i t="default" r="1">
      <x v="4"/>
    </i>
    <i t="default">
      <x v="270"/>
    </i>
    <i>
      <x v="271"/>
      <x/>
      <x v="293"/>
    </i>
    <i t="default" r="1">
      <x/>
    </i>
    <i t="default">
      <x v="271"/>
    </i>
    <i>
      <x v="272"/>
      <x/>
      <x v="446"/>
    </i>
    <i t="default" r="1">
      <x/>
    </i>
    <i t="default">
      <x v="272"/>
    </i>
    <i>
      <x v="273"/>
      <x v="2"/>
      <x v="367"/>
    </i>
    <i t="default" r="1">
      <x v="2"/>
    </i>
    <i t="default">
      <x v="273"/>
    </i>
    <i>
      <x v="274"/>
      <x v="2"/>
      <x v="361"/>
    </i>
    <i t="default" r="1">
      <x v="2"/>
    </i>
    <i t="default">
      <x v="274"/>
    </i>
    <i>
      <x v="275"/>
      <x v="2"/>
      <x v="420"/>
    </i>
    <i t="default" r="1">
      <x v="2"/>
    </i>
    <i t="default">
      <x v="275"/>
    </i>
    <i>
      <x v="276"/>
      <x v="1"/>
      <x v="195"/>
    </i>
    <i t="default" r="1">
      <x v="1"/>
    </i>
    <i t="default">
      <x v="276"/>
    </i>
    <i>
      <x v="277"/>
      <x v="3"/>
      <x v="359"/>
    </i>
    <i t="default" r="1">
      <x v="3"/>
    </i>
    <i t="default">
      <x v="277"/>
    </i>
    <i>
      <x v="278"/>
      <x v="4"/>
      <x v="548"/>
    </i>
    <i t="default" r="1">
      <x v="4"/>
    </i>
    <i t="default">
      <x v="278"/>
    </i>
    <i>
      <x v="279"/>
      <x v="1"/>
      <x v="410"/>
    </i>
    <i t="default" r="1">
      <x v="1"/>
    </i>
    <i t="default">
      <x v="279"/>
    </i>
    <i>
      <x v="280"/>
      <x/>
      <x v="522"/>
    </i>
    <i t="default" r="1">
      <x/>
    </i>
    <i t="default">
      <x v="280"/>
    </i>
    <i>
      <x v="281"/>
      <x v="4"/>
      <x v="276"/>
    </i>
    <i t="default" r="1">
      <x v="4"/>
    </i>
    <i t="default">
      <x v="281"/>
    </i>
    <i>
      <x v="282"/>
      <x v="4"/>
      <x v="539"/>
    </i>
    <i t="default" r="1">
      <x v="4"/>
    </i>
    <i t="default">
      <x v="282"/>
    </i>
    <i>
      <x v="283"/>
      <x v="3"/>
      <x v="174"/>
    </i>
    <i t="default" r="1">
      <x v="3"/>
    </i>
    <i t="default">
      <x v="283"/>
    </i>
    <i>
      <x v="284"/>
      <x v="4"/>
      <x v="531"/>
    </i>
    <i t="default" r="1">
      <x v="4"/>
    </i>
    <i t="default">
      <x v="284"/>
    </i>
    <i>
      <x v="285"/>
      <x v="1"/>
      <x v="456"/>
    </i>
    <i t="default" r="1">
      <x v="1"/>
    </i>
    <i t="default">
      <x v="285"/>
    </i>
    <i>
      <x v="286"/>
      <x v="6"/>
      <x v="500"/>
    </i>
    <i t="default" r="1">
      <x v="6"/>
    </i>
    <i t="default">
      <x v="286"/>
    </i>
    <i>
      <x v="287"/>
      <x/>
      <x v="546"/>
    </i>
    <i t="default" r="1">
      <x/>
    </i>
    <i t="default">
      <x v="287"/>
    </i>
    <i>
      <x v="288"/>
      <x v="4"/>
      <x v="135"/>
    </i>
    <i t="default" r="1">
      <x v="4"/>
    </i>
    <i t="default">
      <x v="288"/>
    </i>
    <i>
      <x v="289"/>
      <x v="1"/>
      <x v="559"/>
    </i>
    <i t="default" r="1">
      <x v="1"/>
    </i>
    <i t="default">
      <x v="289"/>
    </i>
    <i>
      <x v="290"/>
      <x v="5"/>
      <x v="158"/>
    </i>
    <i t="default" r="1">
      <x v="5"/>
    </i>
    <i t="default">
      <x v="290"/>
    </i>
    <i>
      <x v="291"/>
      <x v="1"/>
      <x v="181"/>
    </i>
    <i t="default" r="1">
      <x v="1"/>
    </i>
    <i t="default">
      <x v="291"/>
    </i>
    <i>
      <x v="292"/>
      <x v="3"/>
      <x v="250"/>
    </i>
    <i t="default" r="1">
      <x v="3"/>
    </i>
    <i t="default">
      <x v="292"/>
    </i>
    <i>
      <x v="293"/>
      <x v="5"/>
      <x v="382"/>
    </i>
    <i t="default" r="1">
      <x v="5"/>
    </i>
    <i t="default">
      <x v="293"/>
    </i>
    <i>
      <x v="294"/>
      <x/>
      <x v="262"/>
    </i>
    <i t="default" r="1">
      <x/>
    </i>
    <i t="default">
      <x v="294"/>
    </i>
    <i>
      <x v="295"/>
      <x v="3"/>
      <x v="562"/>
    </i>
    <i t="default" r="1">
      <x v="3"/>
    </i>
    <i t="default">
      <x v="295"/>
    </i>
    <i>
      <x v="296"/>
      <x v="5"/>
      <x v="340"/>
    </i>
    <i t="default" r="1">
      <x v="5"/>
    </i>
    <i t="default">
      <x v="296"/>
    </i>
    <i>
      <x v="297"/>
      <x v="6"/>
      <x v="9"/>
    </i>
    <i t="default" r="1">
      <x v="6"/>
    </i>
    <i t="default">
      <x v="297"/>
    </i>
    <i>
      <x v="298"/>
      <x/>
      <x v="492"/>
    </i>
    <i t="default" r="1">
      <x/>
    </i>
    <i t="default">
      <x v="298"/>
    </i>
    <i>
      <x v="299"/>
      <x v="2"/>
      <x v="405"/>
    </i>
    <i t="default" r="1">
      <x v="2"/>
    </i>
    <i t="default">
      <x v="299"/>
    </i>
    <i>
      <x v="300"/>
      <x v="3"/>
      <x v="388"/>
    </i>
    <i t="default" r="1">
      <x v="3"/>
    </i>
    <i t="default">
      <x v="300"/>
    </i>
    <i>
      <x v="301"/>
      <x v="1"/>
      <x v="419"/>
    </i>
    <i t="default" r="1">
      <x v="1"/>
    </i>
    <i t="default">
      <x v="301"/>
    </i>
    <i>
      <x v="302"/>
      <x v="5"/>
      <x v="118"/>
    </i>
    <i t="default" r="1">
      <x v="5"/>
    </i>
    <i t="default">
      <x v="302"/>
    </i>
    <i>
      <x v="303"/>
      <x v="1"/>
      <x v="70"/>
    </i>
    <i t="default" r="1">
      <x v="1"/>
    </i>
    <i t="default">
      <x v="303"/>
    </i>
    <i>
      <x v="304"/>
      <x v="3"/>
      <x v="242"/>
    </i>
    <i t="default" r="1">
      <x v="3"/>
    </i>
    <i t="default">
      <x v="304"/>
    </i>
    <i>
      <x v="305"/>
      <x v="2"/>
      <x v="353"/>
    </i>
    <i t="default" r="1">
      <x v="2"/>
    </i>
    <i t="default">
      <x v="305"/>
    </i>
    <i>
      <x v="306"/>
      <x v="6"/>
      <x v="377"/>
    </i>
    <i t="default" r="1">
      <x v="6"/>
    </i>
    <i t="default">
      <x v="306"/>
    </i>
    <i>
      <x v="307"/>
      <x v="3"/>
      <x v="60"/>
    </i>
    <i t="default" r="1">
      <x v="3"/>
    </i>
    <i t="default">
      <x v="307"/>
    </i>
    <i>
      <x v="308"/>
      <x v="1"/>
      <x v="175"/>
    </i>
    <i t="default" r="1">
      <x v="1"/>
    </i>
    <i t="default">
      <x v="308"/>
    </i>
    <i>
      <x v="309"/>
      <x v="4"/>
      <x v="284"/>
    </i>
    <i t="default" r="1">
      <x v="4"/>
    </i>
    <i t="default">
      <x v="309"/>
    </i>
    <i>
      <x v="310"/>
      <x v="5"/>
      <x v="581"/>
    </i>
    <i t="default" r="1">
      <x v="5"/>
    </i>
    <i t="default">
      <x v="310"/>
    </i>
    <i>
      <x v="311"/>
      <x v="2"/>
      <x v="167"/>
    </i>
    <i t="default" r="1">
      <x v="2"/>
    </i>
    <i t="default">
      <x v="311"/>
    </i>
    <i>
      <x v="312"/>
      <x v="5"/>
      <x v="441"/>
    </i>
    <i t="default" r="1">
      <x v="5"/>
    </i>
    <i t="default">
      <x v="312"/>
    </i>
    <i>
      <x v="313"/>
      <x v="5"/>
      <x v="571"/>
    </i>
    <i t="default" r="1">
      <x v="5"/>
    </i>
    <i t="default">
      <x v="313"/>
    </i>
    <i>
      <x v="314"/>
      <x v="2"/>
      <x v="1"/>
    </i>
    <i t="default" r="1">
      <x v="2"/>
    </i>
    <i t="default">
      <x v="314"/>
    </i>
    <i>
      <x v="315"/>
      <x v="5"/>
      <x v="442"/>
    </i>
    <i t="default" r="1">
      <x v="5"/>
    </i>
    <i t="default">
      <x v="315"/>
    </i>
    <i>
      <x v="316"/>
      <x v="6"/>
      <x v="518"/>
    </i>
    <i t="default" r="1">
      <x v="6"/>
    </i>
    <i t="default">
      <x v="316"/>
    </i>
    <i>
      <x v="317"/>
      <x/>
      <x v="362"/>
    </i>
    <i t="default" r="1">
      <x/>
    </i>
    <i t="default">
      <x v="317"/>
    </i>
    <i>
      <x v="318"/>
      <x v="4"/>
      <x v="204"/>
    </i>
    <i t="default" r="1">
      <x v="4"/>
    </i>
    <i t="default">
      <x v="318"/>
    </i>
    <i>
      <x v="319"/>
      <x v="5"/>
      <x v="485"/>
    </i>
    <i t="default" r="1">
      <x v="5"/>
    </i>
    <i t="default">
      <x v="319"/>
    </i>
    <i>
      <x v="320"/>
      <x v="6"/>
      <x v="243"/>
    </i>
    <i t="default" r="1">
      <x v="6"/>
    </i>
    <i t="default">
      <x v="320"/>
    </i>
    <i>
      <x v="321"/>
      <x/>
      <x v="444"/>
    </i>
    <i t="default" r="1">
      <x/>
    </i>
    <i t="default">
      <x v="321"/>
    </i>
    <i>
      <x v="322"/>
      <x/>
      <x v="386"/>
    </i>
    <i t="default" r="1">
      <x/>
    </i>
    <i t="default">
      <x v="322"/>
    </i>
    <i>
      <x v="323"/>
      <x v="1"/>
      <x v="478"/>
    </i>
    <i t="default" r="1">
      <x v="1"/>
    </i>
    <i t="default">
      <x v="323"/>
    </i>
    <i>
      <x v="324"/>
      <x v="2"/>
      <x v="244"/>
    </i>
    <i t="default" r="1">
      <x v="2"/>
    </i>
    <i t="default">
      <x v="324"/>
    </i>
    <i>
      <x v="325"/>
      <x v="3"/>
      <x v="35"/>
    </i>
    <i t="default" r="1">
      <x v="3"/>
    </i>
    <i t="default">
      <x v="325"/>
    </i>
    <i>
      <x v="326"/>
      <x v="4"/>
      <x v="151"/>
    </i>
    <i t="default" r="1">
      <x v="4"/>
    </i>
    <i t="default">
      <x v="326"/>
    </i>
    <i>
      <x v="327"/>
      <x v="4"/>
      <x v="36"/>
    </i>
    <i t="default" r="1">
      <x v="4"/>
    </i>
    <i t="default">
      <x v="327"/>
    </i>
    <i>
      <x v="328"/>
      <x v="1"/>
      <x v="30"/>
    </i>
    <i t="default" r="1">
      <x v="1"/>
    </i>
    <i t="default">
      <x v="328"/>
    </i>
    <i>
      <x v="329"/>
      <x v="4"/>
      <x v="208"/>
    </i>
    <i t="default" r="1">
      <x v="4"/>
    </i>
    <i t="default">
      <x v="329"/>
    </i>
    <i>
      <x v="330"/>
      <x v="4"/>
      <x v="464"/>
    </i>
    <i t="default" r="1">
      <x v="4"/>
    </i>
    <i t="default">
      <x v="330"/>
    </i>
    <i>
      <x v="331"/>
      <x v="1"/>
      <x v="349"/>
    </i>
    <i t="default" r="1">
      <x v="1"/>
    </i>
    <i t="default">
      <x v="331"/>
    </i>
    <i>
      <x v="332"/>
      <x v="6"/>
      <x v="20"/>
    </i>
    <i t="default" r="1">
      <x v="6"/>
    </i>
    <i t="default">
      <x v="332"/>
    </i>
    <i>
      <x v="333"/>
      <x v="4"/>
      <x v="319"/>
    </i>
    <i t="default" r="1">
      <x v="4"/>
    </i>
    <i t="default">
      <x v="333"/>
    </i>
    <i>
      <x v="334"/>
      <x/>
      <x v="183"/>
    </i>
    <i t="default" r="1">
      <x/>
    </i>
    <i t="default">
      <x v="334"/>
    </i>
    <i>
      <x v="335"/>
      <x v="5"/>
      <x v="264"/>
    </i>
    <i t="default" r="1">
      <x v="5"/>
    </i>
    <i t="default">
      <x v="335"/>
    </i>
    <i>
      <x v="336"/>
      <x v="2"/>
      <x v="93"/>
    </i>
    <i t="default" r="1">
      <x v="2"/>
    </i>
    <i t="default">
      <x v="336"/>
    </i>
    <i>
      <x v="337"/>
      <x v="1"/>
      <x v="311"/>
    </i>
    <i t="default" r="1">
      <x v="1"/>
    </i>
    <i t="default">
      <x v="337"/>
    </i>
    <i>
      <x v="338"/>
      <x v="4"/>
      <x v="164"/>
    </i>
    <i t="default" r="1">
      <x v="4"/>
    </i>
    <i t="default">
      <x v="338"/>
    </i>
    <i>
      <x v="339"/>
      <x v="2"/>
      <x v="59"/>
    </i>
    <i t="default" r="1">
      <x v="2"/>
    </i>
    <i t="default">
      <x v="339"/>
    </i>
    <i>
      <x v="340"/>
      <x v="3"/>
      <x v="37"/>
    </i>
    <i t="default" r="1">
      <x v="3"/>
    </i>
    <i t="default">
      <x v="340"/>
    </i>
    <i>
      <x v="341"/>
      <x/>
      <x v="380"/>
    </i>
    <i t="default" r="1">
      <x/>
    </i>
    <i t="default">
      <x v="341"/>
    </i>
    <i>
      <x v="342"/>
      <x/>
      <x v="197"/>
    </i>
    <i t="default" r="1">
      <x/>
    </i>
    <i t="default">
      <x v="342"/>
    </i>
    <i>
      <x v="343"/>
      <x v="2"/>
      <x v="483"/>
    </i>
    <i t="default" r="1">
      <x v="2"/>
    </i>
    <i t="default">
      <x v="343"/>
    </i>
    <i>
      <x v="344"/>
      <x v="1"/>
      <x v="223"/>
    </i>
    <i t="default" r="1">
      <x v="1"/>
    </i>
    <i t="default">
      <x v="344"/>
    </i>
    <i>
      <x v="345"/>
      <x/>
      <x v="570"/>
    </i>
    <i t="default" r="1">
      <x/>
    </i>
    <i t="default">
      <x v="345"/>
    </i>
    <i>
      <x v="346"/>
      <x v="1"/>
      <x v="536"/>
    </i>
    <i t="default" r="1">
      <x v="1"/>
    </i>
    <i t="default">
      <x v="346"/>
    </i>
    <i>
      <x v="347"/>
      <x v="1"/>
      <x v="544"/>
    </i>
    <i t="default" r="1">
      <x v="1"/>
    </i>
    <i t="default">
      <x v="347"/>
    </i>
    <i>
      <x v="348"/>
      <x v="6"/>
      <x v="436"/>
    </i>
    <i t="default" r="1">
      <x v="6"/>
    </i>
    <i t="default">
      <x v="348"/>
    </i>
    <i>
      <x v="349"/>
      <x v="1"/>
      <x v="432"/>
    </i>
    <i t="default" r="1">
      <x v="1"/>
    </i>
    <i t="default">
      <x v="349"/>
    </i>
    <i>
      <x v="350"/>
      <x v="1"/>
      <x v="294"/>
    </i>
    <i t="default" r="1">
      <x v="1"/>
    </i>
    <i t="default">
      <x v="350"/>
    </i>
    <i>
      <x v="351"/>
      <x v="5"/>
      <x v="263"/>
    </i>
    <i t="default" r="1">
      <x v="5"/>
    </i>
    <i t="default">
      <x v="351"/>
    </i>
    <i>
      <x v="352"/>
      <x v="2"/>
      <x v="233"/>
    </i>
    <i t="default" r="1">
      <x v="2"/>
    </i>
    <i t="default">
      <x v="352"/>
    </i>
    <i>
      <x v="353"/>
      <x v="6"/>
      <x v="375"/>
    </i>
    <i t="default" r="1">
      <x v="6"/>
    </i>
    <i t="default">
      <x v="353"/>
    </i>
    <i>
      <x v="354"/>
      <x v="2"/>
      <x v="463"/>
    </i>
    <i t="default" r="1">
      <x v="2"/>
    </i>
    <i t="default">
      <x v="354"/>
    </i>
    <i>
      <x v="355"/>
      <x v="5"/>
      <x v="524"/>
    </i>
    <i t="default" r="1">
      <x v="5"/>
    </i>
    <i t="default">
      <x v="355"/>
    </i>
    <i>
      <x v="356"/>
      <x v="4"/>
      <x v="107"/>
    </i>
    <i t="default" r="1">
      <x v="4"/>
    </i>
    <i t="default">
      <x v="356"/>
    </i>
    <i>
      <x v="357"/>
      <x v="3"/>
      <x v="26"/>
    </i>
    <i t="default" r="1">
      <x v="3"/>
    </i>
    <i t="default">
      <x v="357"/>
    </i>
    <i>
      <x v="358"/>
      <x/>
      <x v="270"/>
    </i>
    <i t="default" r="1">
      <x/>
    </i>
    <i t="default">
      <x v="358"/>
    </i>
    <i>
      <x v="359"/>
      <x v="6"/>
      <x v="171"/>
    </i>
    <i t="default" r="1">
      <x v="6"/>
    </i>
    <i t="default">
      <x v="359"/>
    </i>
    <i>
      <x v="360"/>
      <x v="6"/>
      <x v="98"/>
    </i>
    <i t="default" r="1">
      <x v="6"/>
    </i>
    <i t="default">
      <x v="360"/>
    </i>
    <i>
      <x v="361"/>
      <x v="4"/>
      <x v="42"/>
    </i>
    <i t="default" r="1">
      <x v="4"/>
    </i>
    <i t="default">
      <x v="361"/>
    </i>
    <i>
      <x v="362"/>
      <x v="1"/>
      <x v="447"/>
    </i>
    <i t="default" r="1">
      <x v="1"/>
    </i>
    <i t="default">
      <x v="362"/>
    </i>
    <i>
      <x v="363"/>
      <x/>
      <x v="414"/>
    </i>
    <i t="default" r="1">
      <x/>
    </i>
    <i t="default">
      <x v="363"/>
    </i>
    <i>
      <x v="364"/>
      <x v="1"/>
      <x v="218"/>
    </i>
    <i t="default" r="1">
      <x v="1"/>
    </i>
    <i t="default">
      <x v="364"/>
    </i>
    <i>
      <x v="365"/>
      <x v="3"/>
      <x v="153"/>
    </i>
    <i t="default" r="1">
      <x v="3"/>
    </i>
    <i t="default">
      <x v="365"/>
    </i>
    <i>
      <x v="366"/>
      <x v="5"/>
      <x v="260"/>
    </i>
    <i t="default" r="1">
      <x v="5"/>
    </i>
    <i t="default">
      <x v="366"/>
    </i>
    <i>
      <x v="367"/>
      <x v="3"/>
      <x v="78"/>
    </i>
    <i t="default" r="1">
      <x v="3"/>
    </i>
    <i t="default">
      <x v="367"/>
    </i>
    <i>
      <x v="368"/>
      <x v="1"/>
      <x v="557"/>
    </i>
    <i t="default" r="1">
      <x v="1"/>
    </i>
    <i t="default">
      <x v="368"/>
    </i>
    <i>
      <x v="369"/>
      <x v="6"/>
      <x v="440"/>
    </i>
    <i t="default" r="1">
      <x v="6"/>
    </i>
    <i t="default">
      <x v="369"/>
    </i>
    <i>
      <x v="370"/>
      <x v="2"/>
      <x v="335"/>
    </i>
    <i t="default" r="1">
      <x v="2"/>
    </i>
    <i t="default">
      <x v="370"/>
    </i>
    <i>
      <x v="371"/>
      <x v="1"/>
      <x v="563"/>
    </i>
    <i t="default" r="1">
      <x v="1"/>
    </i>
    <i t="default">
      <x v="371"/>
    </i>
    <i>
      <x v="372"/>
      <x v="6"/>
      <x v="196"/>
    </i>
    <i t="default" r="1">
      <x v="6"/>
    </i>
    <i t="default">
      <x v="372"/>
    </i>
    <i>
      <x v="373"/>
      <x v="3"/>
      <x v="238"/>
    </i>
    <i t="default" r="1">
      <x v="3"/>
    </i>
    <i t="default">
      <x v="373"/>
    </i>
    <i>
      <x v="374"/>
      <x v="4"/>
      <x v="320"/>
    </i>
    <i t="default" r="1">
      <x v="4"/>
    </i>
    <i t="default">
      <x v="374"/>
    </i>
    <i>
      <x v="375"/>
      <x/>
      <x v="160"/>
    </i>
    <i t="default" r="1">
      <x/>
    </i>
    <i t="default">
      <x v="375"/>
    </i>
    <i>
      <x v="376"/>
      <x v="6"/>
      <x v="227"/>
    </i>
    <i t="default" r="1">
      <x v="6"/>
    </i>
    <i t="default">
      <x v="376"/>
    </i>
    <i>
      <x v="377"/>
      <x v="4"/>
      <x v="116"/>
    </i>
    <i t="default" r="1">
      <x v="4"/>
    </i>
    <i t="default">
      <x v="377"/>
    </i>
    <i>
      <x v="378"/>
      <x v="6"/>
      <x v="216"/>
    </i>
    <i t="default" r="1">
      <x v="6"/>
    </i>
    <i t="default">
      <x v="378"/>
    </i>
    <i>
      <x v="379"/>
      <x v="3"/>
      <x v="16"/>
    </i>
    <i t="default" r="1">
      <x v="3"/>
    </i>
    <i t="default">
      <x v="379"/>
    </i>
    <i>
      <x v="380"/>
      <x v="4"/>
      <x v="378"/>
    </i>
    <i t="default" r="1">
      <x v="4"/>
    </i>
    <i t="default">
      <x v="380"/>
    </i>
    <i>
      <x v="381"/>
      <x v="2"/>
      <x v="19"/>
    </i>
    <i t="default" r="1">
      <x v="2"/>
    </i>
    <i t="default">
      <x v="381"/>
    </i>
    <i>
      <x v="382"/>
      <x v="3"/>
      <x v="229"/>
    </i>
    <i t="default" r="1">
      <x v="3"/>
    </i>
    <i t="default">
      <x v="382"/>
    </i>
    <i>
      <x v="383"/>
      <x v="6"/>
      <x v="96"/>
    </i>
    <i t="default" r="1">
      <x v="6"/>
    </i>
    <i t="default">
      <x v="383"/>
    </i>
    <i>
      <x v="384"/>
      <x v="3"/>
      <x v="34"/>
    </i>
    <i t="default" r="1">
      <x v="3"/>
    </i>
    <i t="default">
      <x v="384"/>
    </i>
    <i>
      <x v="385"/>
      <x v="2"/>
      <x v="537"/>
    </i>
    <i t="default" r="1">
      <x v="2"/>
    </i>
    <i t="default">
      <x v="385"/>
    </i>
    <i>
      <x v="386"/>
      <x v="5"/>
      <x v="529"/>
    </i>
    <i t="default" r="1">
      <x v="5"/>
    </i>
    <i t="default">
      <x v="386"/>
    </i>
    <i>
      <x v="387"/>
      <x v="2"/>
      <x v="523"/>
    </i>
    <i t="default" r="1">
      <x v="2"/>
    </i>
    <i t="default">
      <x v="387"/>
    </i>
    <i>
      <x v="388"/>
      <x v="5"/>
      <x v="12"/>
    </i>
    <i t="default" r="1">
      <x v="5"/>
    </i>
    <i t="default">
      <x v="388"/>
    </i>
    <i>
      <x v="389"/>
      <x v="1"/>
      <x v="170"/>
    </i>
    <i t="default" r="1">
      <x v="1"/>
    </i>
    <i t="default">
      <x v="389"/>
    </i>
    <i>
      <x v="390"/>
      <x v="2"/>
      <x v="343"/>
    </i>
    <i t="default" r="1">
      <x v="2"/>
    </i>
    <i t="default">
      <x v="390"/>
    </i>
    <i>
      <x v="391"/>
      <x v="6"/>
      <x v="554"/>
    </i>
    <i t="default" r="1">
      <x v="6"/>
    </i>
    <i t="default">
      <x v="391"/>
    </i>
    <i>
      <x v="392"/>
      <x v="2"/>
      <x v="213"/>
    </i>
    <i t="default" r="1">
      <x v="2"/>
    </i>
    <i t="default">
      <x v="392"/>
    </i>
    <i>
      <x v="393"/>
      <x v="1"/>
      <x v="106"/>
    </i>
    <i t="default" r="1">
      <x v="1"/>
    </i>
    <i t="default">
      <x v="393"/>
    </i>
    <i>
      <x v="394"/>
      <x v="2"/>
      <x v="226"/>
    </i>
    <i t="default" r="1">
      <x v="2"/>
    </i>
    <i t="default">
      <x v="394"/>
    </i>
    <i>
      <x v="395"/>
      <x v="2"/>
      <x v="334"/>
    </i>
    <i t="default" r="1">
      <x v="2"/>
    </i>
    <i t="default">
      <x v="395"/>
    </i>
    <i>
      <x v="396"/>
      <x v="6"/>
      <x v="486"/>
    </i>
    <i t="default" r="1">
      <x v="6"/>
    </i>
    <i t="default">
      <x v="396"/>
    </i>
    <i>
      <x v="397"/>
      <x v="1"/>
      <x v="566"/>
    </i>
    <i t="default" r="1">
      <x v="1"/>
    </i>
    <i t="default">
      <x v="397"/>
    </i>
    <i>
      <x v="398"/>
      <x v="6"/>
      <x v="374"/>
    </i>
    <i t="default" r="1">
      <x v="6"/>
    </i>
    <i t="default">
      <x v="398"/>
    </i>
    <i>
      <x v="399"/>
      <x v="3"/>
      <x v="549"/>
    </i>
    <i t="default" r="1">
      <x v="3"/>
    </i>
    <i t="default">
      <x v="399"/>
    </i>
    <i>
      <x v="400"/>
      <x v="4"/>
      <x v="115"/>
    </i>
    <i t="default" r="1">
      <x v="4"/>
    </i>
    <i t="default">
      <x v="400"/>
    </i>
    <i>
      <x v="401"/>
      <x/>
      <x v="49"/>
    </i>
    <i t="default" r="1">
      <x/>
    </i>
    <i t="default">
      <x v="401"/>
    </i>
    <i>
      <x v="402"/>
      <x v="4"/>
      <x v="267"/>
    </i>
    <i t="default" r="1">
      <x v="4"/>
    </i>
    <i t="default">
      <x v="402"/>
    </i>
    <i>
      <x v="403"/>
      <x v="5"/>
      <x v="72"/>
    </i>
    <i t="default" r="1">
      <x v="5"/>
    </i>
    <i t="default">
      <x v="403"/>
    </i>
    <i>
      <x v="404"/>
      <x v="4"/>
      <x v="219"/>
    </i>
    <i t="default" r="1">
      <x v="4"/>
    </i>
    <i t="default">
      <x v="404"/>
    </i>
    <i>
      <x v="405"/>
      <x/>
      <x v="240"/>
    </i>
    <i t="default" r="1">
      <x/>
    </i>
    <i t="default">
      <x v="405"/>
    </i>
    <i>
      <x v="406"/>
      <x v="5"/>
      <x v="211"/>
    </i>
    <i t="default" r="1">
      <x v="5"/>
    </i>
    <i t="default">
      <x v="406"/>
    </i>
    <i>
      <x v="407"/>
      <x v="4"/>
      <x v="306"/>
    </i>
    <i t="default" r="1">
      <x v="4"/>
    </i>
    <i t="default">
      <x v="407"/>
    </i>
    <i>
      <x v="408"/>
      <x v="2"/>
      <x v="578"/>
    </i>
    <i t="default" r="1">
      <x v="2"/>
    </i>
    <i t="default">
      <x v="408"/>
    </i>
    <i>
      <x v="409"/>
      <x v="5"/>
      <x v="261"/>
    </i>
    <i t="default" r="1">
      <x v="5"/>
    </i>
    <i t="default">
      <x v="409"/>
    </i>
    <i>
      <x v="410"/>
      <x v="4"/>
      <x v="329"/>
    </i>
    <i t="default" r="1">
      <x v="4"/>
    </i>
    <i t="default">
      <x v="410"/>
    </i>
    <i>
      <x v="411"/>
      <x v="4"/>
      <x v="401"/>
    </i>
    <i t="default" r="1">
      <x v="4"/>
    </i>
    <i t="default">
      <x v="411"/>
    </i>
    <i>
      <x v="412"/>
      <x v="3"/>
      <x v="63"/>
    </i>
    <i t="default" r="1">
      <x v="3"/>
    </i>
    <i t="default">
      <x v="412"/>
    </i>
    <i>
      <x v="413"/>
      <x v="3"/>
      <x v="417"/>
    </i>
    <i t="default" r="1">
      <x v="3"/>
    </i>
    <i t="default">
      <x v="413"/>
    </i>
    <i>
      <x v="414"/>
      <x v="2"/>
      <x v="220"/>
    </i>
    <i t="default" r="1">
      <x v="2"/>
    </i>
    <i t="default">
      <x v="414"/>
    </i>
    <i>
      <x v="415"/>
      <x v="1"/>
      <x v="337"/>
    </i>
    <i t="default" r="1">
      <x v="1"/>
    </i>
    <i t="default">
      <x v="415"/>
    </i>
    <i>
      <x v="416"/>
      <x/>
      <x v="449"/>
    </i>
    <i t="default" r="1">
      <x/>
    </i>
    <i t="default">
      <x v="416"/>
    </i>
    <i>
      <x v="417"/>
      <x/>
      <x v="585"/>
    </i>
    <i t="default" r="1">
      <x/>
    </i>
    <i t="default">
      <x v="417"/>
    </i>
    <i>
      <x v="418"/>
      <x v="5"/>
      <x v="68"/>
    </i>
    <i t="default" r="1">
      <x v="5"/>
    </i>
    <i t="default">
      <x v="418"/>
    </i>
    <i>
      <x v="419"/>
      <x v="4"/>
      <x v="75"/>
    </i>
    <i t="default" r="1">
      <x v="4"/>
    </i>
    <i t="default">
      <x v="419"/>
    </i>
    <i>
      <x v="420"/>
      <x v="4"/>
      <x v="495"/>
    </i>
    <i t="default" r="1">
      <x v="4"/>
    </i>
    <i t="default">
      <x v="420"/>
    </i>
    <i>
      <x v="421"/>
      <x v="4"/>
      <x v="217"/>
    </i>
    <i t="default" r="1">
      <x v="4"/>
    </i>
    <i t="default">
      <x v="421"/>
    </i>
    <i>
      <x v="422"/>
      <x v="2"/>
      <x v="521"/>
    </i>
    <i t="default" r="1">
      <x v="2"/>
    </i>
    <i t="default">
      <x v="422"/>
    </i>
    <i>
      <x v="423"/>
      <x v="6"/>
      <x v="347"/>
    </i>
    <i t="default" r="1">
      <x v="6"/>
    </i>
    <i t="default">
      <x v="423"/>
    </i>
    <i>
      <x v="424"/>
      <x v="2"/>
      <x v="91"/>
    </i>
    <i t="default" r="1">
      <x v="2"/>
    </i>
    <i t="default">
      <x v="424"/>
    </i>
    <i>
      <x v="425"/>
      <x v="6"/>
      <x v="511"/>
    </i>
    <i t="default" r="1">
      <x v="6"/>
    </i>
    <i t="default">
      <x v="425"/>
    </i>
    <i>
      <x v="426"/>
      <x v="4"/>
      <x v="305"/>
    </i>
    <i t="default" r="1">
      <x v="4"/>
    </i>
    <i t="default">
      <x v="426"/>
    </i>
    <i>
      <x v="427"/>
      <x v="5"/>
      <x v="512"/>
    </i>
    <i t="default" r="1">
      <x v="5"/>
    </i>
    <i t="default">
      <x v="427"/>
    </i>
    <i>
      <x v="428"/>
      <x v="3"/>
      <x v="77"/>
    </i>
    <i t="default" r="1">
      <x v="3"/>
    </i>
    <i t="default">
      <x v="428"/>
    </i>
    <i>
      <x v="429"/>
      <x v="3"/>
      <x v="502"/>
    </i>
    <i t="default" r="1">
      <x v="3"/>
    </i>
    <i t="default">
      <x v="429"/>
    </i>
    <i>
      <x v="430"/>
      <x/>
      <x v="172"/>
    </i>
    <i t="default" r="1">
      <x/>
    </i>
    <i t="default">
      <x v="430"/>
    </i>
    <i>
      <x v="431"/>
      <x v="4"/>
      <x v="322"/>
    </i>
    <i t="default" r="1">
      <x v="4"/>
    </i>
    <i t="default">
      <x v="431"/>
    </i>
    <i>
      <x v="432"/>
      <x v="6"/>
      <x v="430"/>
    </i>
    <i t="default" r="1">
      <x v="6"/>
    </i>
    <i t="default">
      <x v="432"/>
    </i>
    <i>
      <x v="433"/>
      <x v="5"/>
      <x v="145"/>
    </i>
    <i t="default" r="1">
      <x v="5"/>
    </i>
    <i t="default">
      <x v="433"/>
    </i>
    <i>
      <x v="434"/>
      <x/>
      <x v="191"/>
    </i>
    <i t="default" r="1">
      <x/>
    </i>
    <i t="default">
      <x v="434"/>
    </i>
    <i>
      <x v="435"/>
      <x v="5"/>
      <x v="230"/>
    </i>
    <i t="default" r="1">
      <x v="5"/>
    </i>
    <i t="default">
      <x v="435"/>
    </i>
    <i>
      <x v="436"/>
      <x v="1"/>
      <x v="308"/>
    </i>
    <i t="default" r="1">
      <x v="1"/>
    </i>
    <i t="default">
      <x v="436"/>
    </i>
    <i>
      <x v="437"/>
      <x/>
      <x v="281"/>
    </i>
    <i t="default" r="1">
      <x/>
    </i>
    <i t="default">
      <x v="437"/>
    </i>
    <i>
      <x v="438"/>
      <x v="6"/>
      <x v="564"/>
    </i>
    <i t="default" r="1">
      <x v="6"/>
    </i>
    <i t="default">
      <x v="438"/>
    </i>
    <i>
      <x v="439"/>
      <x v="5"/>
      <x v="565"/>
    </i>
    <i t="default" r="1">
      <x v="5"/>
    </i>
    <i t="default">
      <x v="439"/>
    </i>
    <i>
      <x v="440"/>
      <x v="4"/>
      <x v="102"/>
    </i>
    <i t="default" r="1">
      <x v="4"/>
    </i>
    <i t="default">
      <x v="440"/>
    </i>
    <i>
      <x v="441"/>
      <x v="5"/>
      <x v="111"/>
    </i>
    <i t="default" r="1">
      <x v="5"/>
    </i>
    <i t="default">
      <x v="441"/>
    </i>
    <i>
      <x v="442"/>
      <x v="3"/>
      <x v="286"/>
    </i>
    <i t="default" r="1">
      <x v="3"/>
    </i>
    <i t="default">
      <x v="442"/>
    </i>
    <i>
      <x v="443"/>
      <x v="4"/>
      <x v="222"/>
    </i>
    <i t="default" r="1">
      <x v="4"/>
    </i>
    <i t="default">
      <x v="443"/>
    </i>
    <i>
      <x v="444"/>
      <x v="3"/>
      <x v="514"/>
    </i>
    <i t="default" r="1">
      <x v="3"/>
    </i>
    <i t="default">
      <x v="444"/>
    </i>
    <i>
      <x v="445"/>
      <x v="5"/>
      <x v="235"/>
    </i>
    <i t="default" r="1">
      <x v="5"/>
    </i>
    <i t="default">
      <x v="445"/>
    </i>
    <i>
      <x v="446"/>
      <x/>
      <x v="184"/>
    </i>
    <i t="default" r="1">
      <x/>
    </i>
    <i t="default">
      <x v="446"/>
    </i>
    <i>
      <x v="447"/>
      <x v="6"/>
      <x v="373"/>
    </i>
    <i t="default" r="1">
      <x v="6"/>
    </i>
    <i t="default">
      <x v="447"/>
    </i>
    <i>
      <x v="448"/>
      <x v="2"/>
      <x v="285"/>
    </i>
    <i t="default" r="1">
      <x v="2"/>
    </i>
    <i t="default">
      <x v="448"/>
    </i>
    <i>
      <x v="449"/>
      <x v="2"/>
      <x v="65"/>
    </i>
    <i t="default" r="1">
      <x v="2"/>
    </i>
    <i t="default">
      <x v="449"/>
    </i>
    <i>
      <x v="450"/>
      <x v="6"/>
      <x v="396"/>
    </i>
    <i t="default" r="1">
      <x v="6"/>
    </i>
    <i t="default">
      <x v="450"/>
    </i>
    <i>
      <x v="451"/>
      <x v="5"/>
      <x v="89"/>
    </i>
    <i t="default" r="1">
      <x v="5"/>
    </i>
    <i t="default">
      <x v="451"/>
    </i>
    <i>
      <x v="452"/>
      <x v="3"/>
      <x v="289"/>
    </i>
    <i t="default" r="1">
      <x v="3"/>
    </i>
    <i t="default">
      <x v="452"/>
    </i>
    <i>
      <x v="453"/>
      <x v="1"/>
      <x v="513"/>
    </i>
    <i t="default" r="1">
      <x v="1"/>
    </i>
    <i t="default">
      <x v="453"/>
    </i>
    <i>
      <x v="454"/>
      <x v="1"/>
      <x v="39"/>
    </i>
    <i t="default" r="1">
      <x v="1"/>
    </i>
    <i t="default">
      <x v="454"/>
    </i>
    <i>
      <x v="455"/>
      <x/>
      <x v="255"/>
    </i>
    <i t="default" r="1">
      <x/>
    </i>
    <i t="default">
      <x v="455"/>
    </i>
    <i>
      <x v="456"/>
      <x v="4"/>
      <x v="307"/>
    </i>
    <i t="default" r="1">
      <x v="4"/>
    </i>
    <i t="default">
      <x v="456"/>
    </i>
    <i>
      <x v="457"/>
      <x v="5"/>
      <x v="168"/>
    </i>
    <i t="default" r="1">
      <x v="5"/>
    </i>
    <i t="default">
      <x v="457"/>
    </i>
    <i>
      <x v="458"/>
      <x v="1"/>
      <x v="588"/>
    </i>
    <i t="default" r="1">
      <x v="1"/>
    </i>
    <i t="default">
      <x v="458"/>
    </i>
    <i>
      <x v="459"/>
      <x v="6"/>
      <x v="507"/>
    </i>
    <i t="default" r="1">
      <x v="6"/>
    </i>
    <i t="default">
      <x v="459"/>
    </i>
    <i>
      <x v="460"/>
      <x v="1"/>
      <x v="48"/>
    </i>
    <i t="default" r="1">
      <x v="1"/>
    </i>
    <i t="default">
      <x v="460"/>
    </i>
    <i>
      <x v="461"/>
      <x v="1"/>
      <x v="505"/>
    </i>
    <i t="default" r="1">
      <x v="1"/>
    </i>
    <i t="default">
      <x v="461"/>
    </i>
    <i>
      <x v="462"/>
      <x v="3"/>
      <x v="403"/>
    </i>
    <i t="default" r="1">
      <x v="3"/>
    </i>
    <i t="default">
      <x v="462"/>
    </i>
    <i>
      <x v="463"/>
      <x v="2"/>
      <x v="272"/>
    </i>
    <i t="default" r="1">
      <x v="2"/>
    </i>
    <i t="default">
      <x v="463"/>
    </i>
    <i>
      <x v="464"/>
      <x v="3"/>
      <x v="147"/>
    </i>
    <i t="default" r="1">
      <x v="3"/>
    </i>
    <i t="default">
      <x v="464"/>
    </i>
    <i>
      <x v="465"/>
      <x/>
      <x v="182"/>
    </i>
    <i t="default" r="1">
      <x/>
    </i>
    <i t="default">
      <x v="465"/>
    </i>
    <i>
      <x v="466"/>
      <x v="6"/>
      <x v="53"/>
    </i>
    <i t="default" r="1">
      <x v="6"/>
    </i>
    <i t="default">
      <x v="466"/>
    </i>
    <i>
      <x v="467"/>
      <x v="6"/>
      <x v="92"/>
    </i>
    <i t="default" r="1">
      <x v="6"/>
    </i>
    <i t="default">
      <x v="467"/>
    </i>
    <i>
      <x v="468"/>
      <x/>
      <x v="491"/>
    </i>
    <i t="default" r="1">
      <x/>
    </i>
    <i t="default">
      <x v="468"/>
    </i>
    <i>
      <x v="469"/>
      <x v="5"/>
      <x v="342"/>
    </i>
    <i t="default" r="1">
      <x v="5"/>
    </i>
    <i t="default">
      <x v="469"/>
    </i>
    <i>
      <x v="470"/>
      <x v="4"/>
      <x v="94"/>
    </i>
    <i t="default" r="1">
      <x v="4"/>
    </i>
    <i t="default">
      <x v="470"/>
    </i>
    <i>
      <x v="471"/>
      <x v="1"/>
      <x v="453"/>
    </i>
    <i t="default" r="1">
      <x v="1"/>
    </i>
    <i t="default">
      <x v="471"/>
    </i>
    <i>
      <x v="472"/>
      <x v="4"/>
      <x v="257"/>
    </i>
    <i t="default" r="1">
      <x v="4"/>
    </i>
    <i t="default">
      <x v="472"/>
    </i>
    <i>
      <x v="473"/>
      <x v="3"/>
      <x v="165"/>
    </i>
    <i t="default" r="1">
      <x v="3"/>
    </i>
    <i t="default">
      <x v="473"/>
    </i>
    <i>
      <x v="474"/>
      <x v="3"/>
      <x v="383"/>
    </i>
    <i t="default" r="1">
      <x v="3"/>
    </i>
    <i t="default">
      <x v="474"/>
    </i>
    <i>
      <x v="475"/>
      <x v="3"/>
      <x v="254"/>
    </i>
    <i t="default" r="1">
      <x v="3"/>
    </i>
    <i t="default">
      <x v="475"/>
    </i>
    <i>
      <x v="476"/>
      <x v="5"/>
      <x v="203"/>
    </i>
    <i t="default" r="1">
      <x v="5"/>
    </i>
    <i t="default">
      <x v="476"/>
    </i>
    <i>
      <x v="477"/>
      <x v="2"/>
      <x v="95"/>
    </i>
    <i t="default" r="1">
      <x v="2"/>
    </i>
    <i t="default">
      <x v="477"/>
    </i>
    <i>
      <x v="478"/>
      <x/>
      <x v="532"/>
    </i>
    <i t="default" r="1">
      <x/>
    </i>
    <i t="default">
      <x v="478"/>
    </i>
    <i>
      <x v="479"/>
      <x v="4"/>
      <x v="117"/>
    </i>
    <i t="default" r="1">
      <x v="4"/>
    </i>
    <i t="default">
      <x v="479"/>
    </i>
    <i>
      <x v="480"/>
      <x v="6"/>
      <x v="228"/>
    </i>
    <i t="default" r="1">
      <x v="6"/>
    </i>
    <i t="default">
      <x v="480"/>
    </i>
    <i>
      <x v="481"/>
      <x v="2"/>
      <x v="325"/>
    </i>
    <i t="default" r="1">
      <x v="2"/>
    </i>
    <i t="default">
      <x v="481"/>
    </i>
    <i>
      <x v="482"/>
      <x v="2"/>
      <x v="155"/>
    </i>
    <i t="default" r="1">
      <x v="2"/>
    </i>
    <i t="default">
      <x v="482"/>
    </i>
    <i>
      <x v="483"/>
      <x v="1"/>
      <x v="458"/>
    </i>
    <i t="default" r="1">
      <x v="1"/>
    </i>
    <i t="default">
      <x v="483"/>
    </i>
    <i>
      <x v="484"/>
      <x v="4"/>
      <x v="137"/>
    </i>
    <i t="default" r="1">
      <x v="4"/>
    </i>
    <i t="default">
      <x v="484"/>
    </i>
    <i>
      <x v="485"/>
      <x v="6"/>
      <x v="136"/>
    </i>
    <i t="default" r="1">
      <x v="6"/>
    </i>
    <i t="default">
      <x v="485"/>
    </i>
    <i>
      <x v="486"/>
      <x v="6"/>
      <x v="25"/>
    </i>
    <i t="default" r="1">
      <x v="6"/>
    </i>
    <i t="default">
      <x v="486"/>
    </i>
    <i>
      <x v="487"/>
      <x/>
      <x v="71"/>
    </i>
    <i t="default" r="1">
      <x/>
    </i>
    <i t="default">
      <x v="487"/>
    </i>
    <i>
      <x v="488"/>
      <x v="6"/>
      <x v="11"/>
    </i>
    <i t="default" r="1">
      <x v="6"/>
    </i>
    <i t="default">
      <x v="488"/>
    </i>
    <i>
      <x v="489"/>
      <x v="3"/>
      <x v="180"/>
    </i>
    <i t="default" r="1">
      <x v="3"/>
    </i>
    <i t="default">
      <x v="489"/>
    </i>
    <i>
      <x v="490"/>
      <x v="4"/>
      <x v="392"/>
    </i>
    <i t="default" r="1">
      <x v="4"/>
    </i>
    <i t="default">
      <x v="490"/>
    </i>
    <i>
      <x v="491"/>
      <x/>
      <x v="384"/>
    </i>
    <i t="default" r="1">
      <x/>
    </i>
    <i t="default">
      <x v="491"/>
    </i>
    <i>
      <x v="492"/>
      <x v="2"/>
      <x v="214"/>
    </i>
    <i t="default" r="1">
      <x v="2"/>
    </i>
    <i t="default">
      <x v="492"/>
    </i>
    <i>
      <x v="493"/>
      <x v="2"/>
      <x v="496"/>
    </i>
    <i t="default" r="1">
      <x v="2"/>
    </i>
    <i t="default">
      <x v="493"/>
    </i>
    <i>
      <x v="494"/>
      <x v="6"/>
      <x v="112"/>
    </i>
    <i t="default" r="1">
      <x v="6"/>
    </i>
    <i t="default">
      <x v="494"/>
    </i>
    <i>
      <x v="495"/>
      <x v="3"/>
      <x v="330"/>
    </i>
    <i t="default" r="1">
      <x v="3"/>
    </i>
    <i t="default">
      <x v="495"/>
    </i>
    <i>
      <x v="496"/>
      <x v="1"/>
      <x v="61"/>
    </i>
    <i t="default" r="1">
      <x v="1"/>
    </i>
    <i t="default">
      <x v="496"/>
    </i>
    <i>
      <x v="497"/>
      <x v="4"/>
      <x v="84"/>
    </i>
    <i t="default" r="1">
      <x v="4"/>
    </i>
    <i t="default">
      <x v="497"/>
    </i>
    <i>
      <x v="498"/>
      <x v="4"/>
      <x v="221"/>
    </i>
    <i t="default" r="1">
      <x v="4"/>
    </i>
    <i t="default">
      <x v="498"/>
    </i>
    <i>
      <x v="499"/>
      <x v="5"/>
      <x v="124"/>
    </i>
    <i t="default" r="1">
      <x v="5"/>
    </i>
    <i t="default">
      <x v="499"/>
    </i>
    <i>
      <x v="500"/>
      <x v="5"/>
      <x v="364"/>
    </i>
    <i t="default" r="1">
      <x v="5"/>
    </i>
    <i t="default">
      <x v="500"/>
    </i>
    <i>
      <x v="501"/>
      <x v="1"/>
      <x v="504"/>
    </i>
    <i t="default" r="1">
      <x v="1"/>
    </i>
    <i t="default">
      <x v="501"/>
    </i>
    <i>
      <x v="502"/>
      <x v="4"/>
      <x v="366"/>
    </i>
    <i t="default" r="1">
      <x v="4"/>
    </i>
    <i t="default">
      <x v="502"/>
    </i>
    <i>
      <x v="503"/>
      <x v="4"/>
      <x v="90"/>
    </i>
    <i t="default" r="1">
      <x v="4"/>
    </i>
    <i t="default">
      <x v="503"/>
    </i>
    <i>
      <x v="504"/>
      <x v="3"/>
      <x v="326"/>
    </i>
    <i t="default" r="1">
      <x v="3"/>
    </i>
    <i t="default">
      <x v="504"/>
    </i>
    <i>
      <x v="505"/>
      <x/>
      <x v="433"/>
    </i>
    <i t="default" r="1">
      <x/>
    </i>
    <i t="default">
      <x v="505"/>
    </i>
    <i>
      <x v="506"/>
      <x v="1"/>
      <x v="317"/>
    </i>
    <i t="default" r="1">
      <x v="1"/>
    </i>
    <i t="default">
      <x v="506"/>
    </i>
    <i>
      <x v="507"/>
      <x v="5"/>
      <x v="105"/>
    </i>
    <i t="default" r="1">
      <x v="5"/>
    </i>
    <i t="default">
      <x v="507"/>
    </i>
    <i>
      <x v="508"/>
      <x v="6"/>
      <x v="399"/>
    </i>
    <i t="default" r="1">
      <x v="6"/>
    </i>
    <i t="default">
      <x v="508"/>
    </i>
    <i>
      <x v="509"/>
      <x v="4"/>
      <x v="494"/>
    </i>
    <i t="default" r="1">
      <x v="4"/>
    </i>
    <i t="default">
      <x v="509"/>
    </i>
    <i>
      <x v="510"/>
      <x/>
      <x v="413"/>
    </i>
    <i t="default" r="1">
      <x/>
    </i>
    <i t="default">
      <x v="510"/>
    </i>
    <i>
      <x v="511"/>
      <x v="3"/>
      <x v="538"/>
    </i>
    <i t="default" r="1">
      <x v="3"/>
    </i>
    <i t="default">
      <x v="511"/>
    </i>
    <i>
      <x v="512"/>
      <x v="5"/>
      <x v="249"/>
    </i>
    <i t="default" r="1">
      <x v="5"/>
    </i>
    <i t="default">
      <x v="512"/>
    </i>
    <i>
      <x v="513"/>
      <x v="3"/>
      <x v="148"/>
    </i>
    <i t="default" r="1">
      <x v="3"/>
    </i>
    <i t="default">
      <x v="513"/>
    </i>
    <i>
      <x v="514"/>
      <x v="4"/>
      <x v="545"/>
    </i>
    <i t="default" r="1">
      <x v="4"/>
    </i>
    <i t="default">
      <x v="514"/>
    </i>
    <i>
      <x v="515"/>
      <x v="4"/>
      <x v="418"/>
    </i>
    <i t="default" r="1">
      <x v="4"/>
    </i>
    <i t="default">
      <x v="515"/>
    </i>
    <i>
      <x v="516"/>
      <x v="1"/>
      <x v="556"/>
    </i>
    <i t="default" r="1">
      <x v="1"/>
    </i>
    <i t="default">
      <x v="516"/>
    </i>
    <i>
      <x v="517"/>
      <x v="1"/>
      <x v="143"/>
    </i>
    <i t="default" r="1">
      <x v="1"/>
    </i>
    <i t="default">
      <x v="517"/>
    </i>
    <i>
      <x v="518"/>
      <x v="1"/>
      <x v="323"/>
    </i>
    <i t="default" r="1">
      <x v="1"/>
    </i>
    <i t="default">
      <x v="518"/>
    </i>
    <i>
      <x v="519"/>
      <x/>
      <x v="561"/>
    </i>
    <i t="default" r="1">
      <x/>
    </i>
    <i t="default">
      <x v="519"/>
    </i>
    <i>
      <x v="520"/>
      <x v="5"/>
      <x v="62"/>
    </i>
    <i t="default" r="1">
      <x v="5"/>
    </i>
    <i t="default">
      <x v="520"/>
    </i>
    <i>
      <x v="521"/>
      <x v="4"/>
      <x v="404"/>
    </i>
    <i t="default" r="1">
      <x v="4"/>
    </i>
    <i t="default">
      <x v="521"/>
    </i>
    <i>
      <x v="522"/>
      <x v="2"/>
      <x v="550"/>
    </i>
    <i t="default" r="1">
      <x v="2"/>
    </i>
    <i t="default">
      <x v="522"/>
    </i>
    <i>
      <x v="523"/>
      <x/>
      <x v="475"/>
    </i>
    <i t="default" r="1">
      <x/>
    </i>
    <i t="default">
      <x v="523"/>
    </i>
    <i>
      <x v="524"/>
      <x v="1"/>
      <x v="547"/>
    </i>
    <i t="default" r="1">
      <x v="1"/>
    </i>
    <i t="default">
      <x v="524"/>
    </i>
    <i>
      <x v="525"/>
      <x v="4"/>
      <x v="207"/>
    </i>
    <i t="default" r="1">
      <x v="4"/>
    </i>
    <i t="default">
      <x v="525"/>
    </i>
    <i>
      <x v="526"/>
      <x v="2"/>
      <x v="41"/>
    </i>
    <i t="default" r="1">
      <x v="2"/>
    </i>
    <i t="default">
      <x v="526"/>
    </i>
    <i>
      <x v="527"/>
      <x v="4"/>
      <x v="56"/>
    </i>
    <i t="default" r="1">
      <x v="4"/>
    </i>
    <i t="default">
      <x v="527"/>
    </i>
    <i>
      <x v="528"/>
      <x v="5"/>
      <x v="455"/>
    </i>
    <i t="default" r="1">
      <x v="5"/>
    </i>
    <i t="default">
      <x v="528"/>
    </i>
    <i>
      <x v="529"/>
      <x v="6"/>
      <x v="245"/>
    </i>
    <i t="default" r="1">
      <x v="6"/>
    </i>
    <i t="default">
      <x v="529"/>
    </i>
    <i>
      <x v="530"/>
      <x v="1"/>
      <x v="583"/>
    </i>
    <i t="default" r="1">
      <x v="1"/>
    </i>
    <i t="default">
      <x v="530"/>
    </i>
    <i>
      <x v="531"/>
      <x v="6"/>
      <x v="425"/>
    </i>
    <i t="default" r="1">
      <x v="6"/>
    </i>
    <i t="default">
      <x v="531"/>
    </i>
    <i>
      <x v="532"/>
      <x v="5"/>
      <x v="301"/>
    </i>
    <i t="default" r="1">
      <x v="5"/>
    </i>
    <i t="default">
      <x v="532"/>
    </i>
    <i>
      <x v="533"/>
      <x v="1"/>
      <x v="248"/>
    </i>
    <i t="default" r="1">
      <x v="1"/>
    </i>
    <i t="default">
      <x v="533"/>
    </i>
    <i>
      <x v="534"/>
      <x/>
      <x v="400"/>
    </i>
    <i t="default" r="1">
      <x/>
    </i>
    <i t="default">
      <x v="534"/>
    </i>
    <i>
      <x v="535"/>
      <x v="6"/>
      <x v="190"/>
    </i>
    <i t="default" r="1">
      <x v="6"/>
    </i>
    <i t="default">
      <x v="535"/>
    </i>
    <i>
      <x v="536"/>
      <x/>
      <x v="527"/>
    </i>
    <i t="default" r="1">
      <x/>
    </i>
    <i t="default">
      <x v="536"/>
    </i>
    <i>
      <x v="537"/>
      <x v="1"/>
      <x v="331"/>
    </i>
    <i t="default" r="1">
      <x v="1"/>
    </i>
    <i t="default">
      <x v="537"/>
    </i>
    <i>
      <x v="538"/>
      <x v="2"/>
      <x v="327"/>
    </i>
    <i t="default" r="1">
      <x v="2"/>
    </i>
    <i t="default">
      <x v="538"/>
    </i>
    <i>
      <x v="539"/>
      <x v="6"/>
      <x v="304"/>
    </i>
    <i t="default" r="1">
      <x v="6"/>
    </i>
    <i t="default">
      <x v="539"/>
    </i>
    <i>
      <x v="540"/>
      <x v="3"/>
      <x v="198"/>
    </i>
    <i t="default" r="1">
      <x v="3"/>
    </i>
    <i t="default">
      <x v="540"/>
    </i>
    <i>
      <x v="541"/>
      <x v="2"/>
      <x v="472"/>
    </i>
    <i t="default" r="1">
      <x v="2"/>
    </i>
    <i t="default">
      <x v="541"/>
    </i>
    <i>
      <x v="542"/>
      <x/>
      <x v="247"/>
    </i>
    <i t="default" r="1">
      <x/>
    </i>
    <i t="default">
      <x v="542"/>
    </i>
    <i>
      <x v="543"/>
      <x/>
      <x v="541"/>
    </i>
    <i t="default" r="1">
      <x/>
    </i>
    <i t="default">
      <x v="543"/>
    </i>
    <i>
      <x v="544"/>
      <x v="4"/>
      <x v="553"/>
    </i>
    <i t="default" r="1">
      <x v="4"/>
    </i>
    <i t="default">
      <x v="544"/>
    </i>
    <i>
      <x v="545"/>
      <x v="1"/>
      <x v="292"/>
    </i>
    <i t="default" r="1">
      <x v="1"/>
    </i>
    <i t="default">
      <x v="545"/>
    </i>
    <i>
      <x v="546"/>
      <x v="2"/>
      <x v="480"/>
    </i>
    <i t="default" r="1">
      <x v="2"/>
    </i>
    <i t="default">
      <x v="546"/>
    </i>
    <i>
      <x v="547"/>
      <x v="1"/>
      <x v="224"/>
    </i>
    <i t="default" r="1">
      <x v="1"/>
    </i>
    <i t="default">
      <x v="547"/>
    </i>
    <i>
      <x v="548"/>
      <x v="2"/>
      <x v="314"/>
    </i>
    <i t="default" r="1">
      <x v="2"/>
    </i>
    <i t="default">
      <x v="548"/>
    </i>
    <i>
      <x v="549"/>
      <x v="5"/>
      <x v="540"/>
    </i>
    <i t="default" r="1">
      <x v="5"/>
    </i>
    <i t="default">
      <x v="549"/>
    </i>
    <i>
      <x v="550"/>
      <x/>
      <x v="577"/>
    </i>
    <i t="default" r="1">
      <x/>
    </i>
    <i t="default">
      <x v="550"/>
    </i>
    <i>
      <x v="551"/>
      <x v="1"/>
      <x v="209"/>
    </i>
    <i t="default" r="1">
      <x v="1"/>
    </i>
    <i t="default">
      <x v="551"/>
    </i>
    <i>
      <x v="552"/>
      <x v="6"/>
      <x v="157"/>
    </i>
    <i t="default" r="1">
      <x v="6"/>
    </i>
    <i t="default">
      <x v="552"/>
    </i>
    <i>
      <x v="553"/>
      <x/>
      <x v="445"/>
    </i>
    <i t="default" r="1">
      <x/>
    </i>
    <i t="default">
      <x v="553"/>
    </i>
    <i>
      <x v="554"/>
      <x v="3"/>
      <x v="277"/>
    </i>
    <i t="default" r="1">
      <x v="3"/>
    </i>
    <i t="default">
      <x v="554"/>
    </i>
    <i>
      <x v="555"/>
      <x/>
      <x v="237"/>
    </i>
    <i t="default" r="1">
      <x/>
    </i>
    <i t="default">
      <x v="555"/>
    </i>
    <i>
      <x v="556"/>
      <x v="5"/>
      <x/>
    </i>
    <i t="default" r="1">
      <x v="5"/>
    </i>
    <i t="default">
      <x v="556"/>
    </i>
    <i>
      <x v="557"/>
      <x v="3"/>
      <x v="341"/>
    </i>
    <i t="default" r="1">
      <x v="3"/>
    </i>
    <i t="default">
      <x v="557"/>
    </i>
    <i>
      <x v="558"/>
      <x v="3"/>
      <x v="363"/>
    </i>
    <i t="default" r="1">
      <x v="3"/>
    </i>
    <i t="default">
      <x v="558"/>
    </i>
    <i>
      <x v="559"/>
      <x v="3"/>
      <x v="437"/>
    </i>
    <i t="default" r="1">
      <x v="3"/>
    </i>
    <i t="default">
      <x v="559"/>
    </i>
    <i>
      <x v="560"/>
      <x v="4"/>
      <x v="3"/>
    </i>
    <i t="default" r="1">
      <x v="4"/>
    </i>
    <i t="default">
      <x v="560"/>
    </i>
    <i>
      <x v="561"/>
      <x v="6"/>
      <x v="177"/>
    </i>
    <i t="default" r="1">
      <x v="6"/>
    </i>
    <i t="default">
      <x v="561"/>
    </i>
    <i>
      <x v="562"/>
      <x/>
      <x v="6"/>
    </i>
    <i t="default" r="1">
      <x/>
    </i>
    <i t="default">
      <x v="562"/>
    </i>
    <i>
      <x v="563"/>
      <x v="5"/>
      <x v="369"/>
    </i>
    <i t="default" r="1">
      <x v="5"/>
    </i>
    <i t="default">
      <x v="563"/>
    </i>
    <i>
      <x v="564"/>
      <x v="4"/>
      <x v="461"/>
    </i>
    <i t="default" r="1">
      <x v="4"/>
    </i>
    <i t="default">
      <x v="564"/>
    </i>
    <i>
      <x v="565"/>
      <x v="1"/>
      <x v="385"/>
    </i>
    <i t="default" r="1">
      <x v="1"/>
    </i>
    <i t="default">
      <x v="565"/>
    </i>
    <i>
      <x v="566"/>
      <x v="3"/>
      <x v="131"/>
    </i>
    <i t="default" r="1">
      <x v="3"/>
    </i>
    <i t="default">
      <x v="566"/>
    </i>
    <i>
      <x v="567"/>
      <x v="4"/>
      <x v="579"/>
    </i>
    <i t="default" r="1">
      <x v="4"/>
    </i>
    <i t="default">
      <x v="567"/>
    </i>
    <i>
      <x v="568"/>
      <x v="4"/>
      <x v="409"/>
    </i>
    <i t="default" r="1">
      <x v="4"/>
    </i>
    <i t="default">
      <x v="568"/>
    </i>
    <i>
      <x v="569"/>
      <x v="3"/>
      <x v="280"/>
    </i>
    <i t="default" r="1">
      <x v="3"/>
    </i>
    <i t="default">
      <x v="569"/>
    </i>
    <i>
      <x v="570"/>
      <x v="1"/>
      <x v="133"/>
    </i>
    <i t="default" r="1">
      <x v="1"/>
    </i>
    <i t="default">
      <x v="570"/>
    </i>
    <i>
      <x v="571"/>
      <x v="3"/>
      <x v="381"/>
    </i>
    <i t="default" r="1">
      <x v="3"/>
    </i>
    <i t="default">
      <x v="571"/>
    </i>
    <i>
      <x v="572"/>
      <x/>
      <x v="324"/>
    </i>
    <i t="default" r="1">
      <x/>
    </i>
    <i t="default">
      <x v="572"/>
    </i>
    <i>
      <x v="573"/>
      <x v="2"/>
      <x v="123"/>
    </i>
    <i t="default" r="1">
      <x v="2"/>
    </i>
    <i t="default">
      <x v="573"/>
    </i>
    <i>
      <x v="574"/>
      <x v="1"/>
      <x v="316"/>
    </i>
    <i t="default" r="1">
      <x v="1"/>
    </i>
    <i t="default">
      <x v="574"/>
    </i>
    <i>
      <x v="575"/>
      <x v="3"/>
      <x v="466"/>
    </i>
    <i t="default" r="1">
      <x v="3"/>
    </i>
    <i t="default">
      <x v="575"/>
    </i>
    <i>
      <x v="576"/>
      <x/>
      <x v="2"/>
    </i>
    <i t="default" r="1">
      <x/>
    </i>
    <i t="default">
      <x v="576"/>
    </i>
    <i>
      <x v="577"/>
      <x v="3"/>
      <x v="51"/>
    </i>
    <i t="default" r="1">
      <x v="3"/>
    </i>
    <i t="default">
      <x v="577"/>
    </i>
    <i>
      <x v="578"/>
      <x v="6"/>
      <x v="506"/>
    </i>
    <i t="default" r="1">
      <x v="6"/>
    </i>
    <i t="default">
      <x v="578"/>
    </i>
    <i>
      <x v="579"/>
      <x v="2"/>
      <x v="310"/>
    </i>
    <i t="default" r="1">
      <x v="2"/>
    </i>
    <i t="default">
      <x v="579"/>
    </i>
    <i>
      <x v="580"/>
      <x v="3"/>
      <x v="398"/>
    </i>
    <i t="default" r="1">
      <x v="3"/>
    </i>
    <i t="default">
      <x v="580"/>
    </i>
    <i>
      <x v="581"/>
      <x/>
      <x v="517"/>
    </i>
    <i t="default" r="1">
      <x/>
    </i>
    <i t="default">
      <x v="581"/>
    </i>
    <i>
      <x v="582"/>
      <x v="1"/>
      <x v="200"/>
    </i>
    <i t="default" r="1">
      <x v="1"/>
    </i>
    <i t="default">
      <x v="582"/>
    </i>
    <i>
      <x v="583"/>
      <x v="5"/>
      <x v="103"/>
    </i>
    <i t="default" r="1">
      <x v="5"/>
    </i>
    <i t="default">
      <x v="583"/>
    </i>
    <i>
      <x v="584"/>
      <x/>
      <x v="152"/>
    </i>
    <i t="default" r="1">
      <x/>
    </i>
    <i t="default">
      <x v="584"/>
    </i>
    <i>
      <x v="585"/>
      <x v="2"/>
      <x v="451"/>
    </i>
    <i t="default" r="1">
      <x v="2"/>
    </i>
    <i t="default">
      <x v="585"/>
    </i>
    <i>
      <x v="586"/>
      <x v="4"/>
      <x v="161"/>
    </i>
    <i t="default" r="1">
      <x v="4"/>
    </i>
    <i t="default">
      <x v="586"/>
    </i>
    <i>
      <x v="587"/>
      <x v="2"/>
      <x v="129"/>
    </i>
    <i t="default" r="1">
      <x v="2"/>
    </i>
    <i t="default">
      <x v="587"/>
    </i>
    <i>
      <x v="588"/>
      <x/>
      <x v="201"/>
    </i>
    <i t="default" r="1">
      <x/>
    </i>
    <i t="default">
      <x v="58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441769-DA18-4313-A156-841AD2302360}" name="PivotTable3" cacheId="1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
  <location ref="D3:E15" firstHeaderRow="2" firstDataRow="2" firstDataCol="1"/>
  <pivotFields count="14">
    <pivotField compact="0" outline="0" showAll="0"/>
    <pivotField compact="0" outline="0" showAll="0"/>
    <pivotField compact="0" outline="0" showAll="0"/>
    <pivotField compact="0" outline="0" showAll="0"/>
    <pivotField axis="axisRow" compact="0" outline="0" showAll="0">
      <items count="11">
        <item x="4"/>
        <item x="8"/>
        <item x="5"/>
        <item x="1"/>
        <item x="9"/>
        <item x="6"/>
        <item x="2"/>
        <item x="3"/>
        <item x="0"/>
        <item x="7"/>
        <item t="default"/>
      </items>
    </pivotField>
    <pivotField compact="0" numFmtId="14" outline="0" showAll="0">
      <items count="12">
        <item x="1"/>
        <item x="6"/>
        <item x="4"/>
        <item x="0"/>
        <item x="5"/>
        <item x="2"/>
        <item x="10"/>
        <item x="7"/>
        <item x="9"/>
        <item x="8"/>
        <item x="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4"/>
  </rowFields>
  <rowItems count="11">
    <i>
      <x/>
    </i>
    <i>
      <x v="1"/>
    </i>
    <i>
      <x v="2"/>
    </i>
    <i>
      <x v="3"/>
    </i>
    <i>
      <x v="4"/>
    </i>
    <i>
      <x v="5"/>
    </i>
    <i>
      <x v="6"/>
    </i>
    <i>
      <x v="7"/>
    </i>
    <i>
      <x v="8"/>
    </i>
    <i>
      <x v="9"/>
    </i>
    <i t="grand">
      <x/>
    </i>
  </rowItems>
  <colItems count="1">
    <i/>
  </colItems>
  <dataFields count="1">
    <dataField name="Sum of Revenue (Million USD)" fld="10" baseField="0" baseItem="0"/>
  </dataFields>
  <chartFormats count="1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4" count="1" selected="0">
            <x v="0"/>
          </reference>
        </references>
      </pivotArea>
    </chartFormat>
    <chartFormat chart="2" format="14">
      <pivotArea type="data" outline="0" fieldPosition="0">
        <references count="2">
          <reference field="4294967294" count="1" selected="0">
            <x v="0"/>
          </reference>
          <reference field="4" count="1" selected="0">
            <x v="1"/>
          </reference>
        </references>
      </pivotArea>
    </chartFormat>
    <chartFormat chart="2" format="15">
      <pivotArea type="data" outline="0" fieldPosition="0">
        <references count="2">
          <reference field="4294967294" count="1" selected="0">
            <x v="0"/>
          </reference>
          <reference field="4" count="1" selected="0">
            <x v="2"/>
          </reference>
        </references>
      </pivotArea>
    </chartFormat>
    <chartFormat chart="2" format="16">
      <pivotArea type="data" outline="0" fieldPosition="0">
        <references count="2">
          <reference field="4294967294" count="1" selected="0">
            <x v="0"/>
          </reference>
          <reference field="4" count="1" selected="0">
            <x v="3"/>
          </reference>
        </references>
      </pivotArea>
    </chartFormat>
    <chartFormat chart="2" format="17">
      <pivotArea type="data" outline="0" fieldPosition="0">
        <references count="2">
          <reference field="4294967294" count="1" selected="0">
            <x v="0"/>
          </reference>
          <reference field="4" count="1" selected="0">
            <x v="4"/>
          </reference>
        </references>
      </pivotArea>
    </chartFormat>
    <chartFormat chart="2" format="18">
      <pivotArea type="data" outline="0" fieldPosition="0">
        <references count="2">
          <reference field="4294967294" count="1" selected="0">
            <x v="0"/>
          </reference>
          <reference field="4" count="1" selected="0">
            <x v="5"/>
          </reference>
        </references>
      </pivotArea>
    </chartFormat>
    <chartFormat chart="2" format="19">
      <pivotArea type="data" outline="0" fieldPosition="0">
        <references count="2">
          <reference field="4294967294" count="1" selected="0">
            <x v="0"/>
          </reference>
          <reference field="4" count="1" selected="0">
            <x v="6"/>
          </reference>
        </references>
      </pivotArea>
    </chartFormat>
    <chartFormat chart="2" format="20">
      <pivotArea type="data" outline="0" fieldPosition="0">
        <references count="2">
          <reference field="4294967294" count="1" selected="0">
            <x v="0"/>
          </reference>
          <reference field="4" count="1" selected="0">
            <x v="7"/>
          </reference>
        </references>
      </pivotArea>
    </chartFormat>
    <chartFormat chart="2" format="21">
      <pivotArea type="data" outline="0" fieldPosition="0">
        <references count="2">
          <reference field="4294967294" count="1" selected="0">
            <x v="0"/>
          </reference>
          <reference field="4" count="1" selected="0">
            <x v="8"/>
          </reference>
        </references>
      </pivotArea>
    </chartFormat>
    <chartFormat chart="2" format="2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6E7102-E636-4ABA-B566-19F6C073208C}" name="PivotTable2" cacheId="10" applyNumberFormats="0" applyBorderFormats="0" applyFontFormats="0" applyPatternFormats="0" applyAlignmentFormats="0" applyWidthHeightFormats="1" dataCaption="Values" updatedVersion="8" minRefreshableVersion="5" itemPrintTitles="1" createdVersion="8" indent="0" compact="0" compactData="0" gridDropZones="1" multipleFieldFilters="0">
  <location ref="A19" firstHeaderRow="0" firstDataRow="0" firstDataCol="0"/>
  <pivotFields count="14">
    <pivotField compact="0" outline="0" showAll="0"/>
    <pivotField axis="axisRow" compact="0" outline="0" showAll="0">
      <items count="590">
        <item x="398"/>
        <item x="501"/>
        <item x="276"/>
        <item x="588"/>
        <item x="494"/>
        <item x="522"/>
        <item x="455"/>
        <item x="409"/>
        <item x="269"/>
        <item x="525"/>
        <item x="134"/>
        <item x="67"/>
        <item x="120"/>
        <item x="585"/>
        <item x="71"/>
        <item x="533"/>
        <item x="443"/>
        <item x="84"/>
        <item x="506"/>
        <item x="505"/>
        <item x="319"/>
        <item x="275"/>
        <item x="145"/>
        <item x="7"/>
        <item x="76"/>
        <item x="390"/>
        <item x="14"/>
        <item x="3"/>
        <item x="519"/>
        <item x="259"/>
        <item x="250"/>
        <item x="357"/>
        <item x="246"/>
        <item x="478"/>
        <item x="270"/>
        <item x="393"/>
        <item x="440"/>
        <item x="543"/>
        <item x="340"/>
        <item x="536"/>
        <item x="366"/>
        <item x="365"/>
        <item x="209"/>
        <item x="463"/>
        <item x="193"/>
        <item x="362"/>
        <item x="503"/>
        <item x="163"/>
        <item x="577"/>
        <item x="38"/>
        <item x="96"/>
        <item x="82"/>
        <item x="541"/>
        <item x="392"/>
        <item x="25"/>
        <item x="105"/>
        <item x="238"/>
        <item x="427"/>
        <item x="261"/>
        <item x="256"/>
        <item x="108"/>
        <item x="287"/>
        <item x="451"/>
        <item x="210"/>
        <item x="18"/>
        <item x="471"/>
        <item x="214"/>
        <item x="9"/>
        <item x="483"/>
        <item x="314"/>
        <item x="255"/>
        <item x="397"/>
        <item x="520"/>
        <item x="39"/>
        <item x="16"/>
        <item x="382"/>
        <item x="69"/>
        <item x="237"/>
        <item x="583"/>
        <item x="106"/>
        <item x="46"/>
        <item x="481"/>
        <item x="198"/>
        <item x="573"/>
        <item x="61"/>
        <item x="405"/>
        <item x="475"/>
        <item x="556"/>
        <item x="537"/>
        <item x="420"/>
        <item x="63"/>
        <item x="492"/>
        <item x="242"/>
        <item x="384"/>
        <item x="540"/>
        <item x="185"/>
        <item x="284"/>
        <item x="561"/>
        <item x="435"/>
        <item x="286"/>
        <item x="43"/>
        <item x="161"/>
        <item x="212"/>
        <item x="434"/>
        <item x="5"/>
        <item x="352"/>
        <item x="394"/>
        <item x="534"/>
        <item x="369"/>
        <item x="579"/>
        <item x="531"/>
        <item x="27"/>
        <item x="425"/>
        <item x="203"/>
        <item x="374"/>
        <item x="330"/>
        <item x="112"/>
        <item x="33"/>
        <item x="93"/>
        <item x="439"/>
        <item x="138"/>
        <item x="62"/>
        <item x="576"/>
        <item x="424"/>
        <item x="273"/>
        <item x="486"/>
        <item x="28"/>
        <item x="373"/>
        <item x="133"/>
        <item x="162"/>
        <item x="358"/>
        <item x="201"/>
        <item x="304"/>
        <item x="122"/>
        <item x="485"/>
        <item x="400"/>
        <item x="387"/>
        <item x="429"/>
        <item x="79"/>
        <item x="299"/>
        <item x="411"/>
        <item x="115"/>
        <item x="558"/>
        <item x="130"/>
        <item x="489"/>
        <item x="448"/>
        <item x="487"/>
        <item x="257"/>
        <item x="312"/>
        <item x="416"/>
        <item x="476"/>
        <item x="251"/>
        <item x="208"/>
        <item x="480"/>
        <item x="195"/>
        <item x="253"/>
        <item x="350"/>
        <item x="565"/>
        <item x="414"/>
        <item x="17"/>
        <item x="339"/>
        <item x="491"/>
        <item x="401"/>
        <item x="260"/>
        <item x="127"/>
        <item x="226"/>
        <item x="482"/>
        <item x="72"/>
        <item x="78"/>
        <item x="336"/>
        <item x="464"/>
        <item x="189"/>
        <item x="386"/>
        <item x="182"/>
        <item x="379"/>
        <item x="432"/>
        <item x="461"/>
        <item x="148"/>
        <item x="240"/>
        <item x="19"/>
        <item x="508"/>
        <item x="141"/>
        <item x="282"/>
        <item x="454"/>
        <item x="32"/>
        <item x="126"/>
        <item x="239"/>
        <item x="548"/>
        <item x="70"/>
        <item x="389"/>
        <item x="380"/>
        <item x="423"/>
        <item x="446"/>
        <item x="510"/>
        <item x="355"/>
        <item x="23"/>
        <item x="55"/>
        <item x="325"/>
        <item x="1"/>
        <item x="515"/>
        <item x="87"/>
        <item x="291"/>
        <item x="326"/>
        <item x="553"/>
        <item x="502"/>
        <item x="296"/>
        <item x="295"/>
        <item x="249"/>
        <item x="363"/>
        <item x="118"/>
        <item x="317"/>
        <item x="368"/>
        <item x="36"/>
        <item x="128"/>
        <item x="60"/>
        <item x="49"/>
        <item x="41"/>
        <item x="277"/>
        <item x="151"/>
        <item x="549"/>
        <item x="437"/>
        <item x="213"/>
        <item x="359"/>
        <item x="160"/>
        <item x="521"/>
        <item x="370"/>
        <item x="458"/>
        <item x="274"/>
        <item x="294"/>
        <item x="292"/>
        <item x="30"/>
        <item x="346"/>
        <item x="211"/>
        <item x="230"/>
        <item x="186"/>
        <item x="199"/>
        <item x="157"/>
        <item x="504"/>
        <item x="197"/>
        <item x="396"/>
        <item x="2"/>
        <item x="554"/>
        <item x="202"/>
        <item x="297"/>
        <item x="563"/>
        <item x="98"/>
        <item x="165"/>
        <item x="406"/>
        <item x="10"/>
        <item x="422"/>
        <item x="490"/>
        <item x="320"/>
        <item x="361"/>
        <item x="335"/>
        <item x="171"/>
        <item x="146"/>
        <item x="42"/>
        <item x="514"/>
        <item x="288"/>
        <item x="44"/>
        <item x="530"/>
        <item x="104"/>
        <item x="509"/>
        <item x="59"/>
        <item x="431"/>
        <item x="462"/>
        <item x="114"/>
        <item x="147"/>
        <item x="8"/>
        <item x="221"/>
        <item x="20"/>
        <item x="81"/>
        <item x="83"/>
        <item x="152"/>
        <item x="65"/>
        <item x="188"/>
        <item x="207"/>
        <item x="40"/>
        <item x="289"/>
        <item x="91"/>
        <item x="468"/>
        <item x="378"/>
        <item x="102"/>
        <item x="244"/>
        <item x="496"/>
        <item x="164"/>
        <item x="227"/>
        <item x="402"/>
        <item x="323"/>
        <item x="64"/>
        <item x="421"/>
        <item x="224"/>
        <item x="35"/>
        <item x="110"/>
        <item x="88"/>
        <item x="444"/>
        <item x="177"/>
        <item x="385"/>
        <item x="321"/>
        <item x="460"/>
        <item x="234"/>
        <item x="557"/>
        <item x="26"/>
        <item x="465"/>
        <item x="535"/>
        <item x="587"/>
        <item x="354"/>
        <item x="342"/>
        <item x="564"/>
        <item x="410"/>
        <item x="498"/>
        <item x="90"/>
        <item x="116"/>
        <item x="206"/>
        <item x="216"/>
        <item x="338"/>
        <item x="158"/>
        <item x="479"/>
        <item x="430"/>
        <item x="391"/>
        <item x="241"/>
        <item x="472"/>
        <item x="329"/>
        <item x="456"/>
        <item x="293"/>
        <item x="229"/>
        <item x="459"/>
        <item x="570"/>
        <item x="77"/>
        <item x="538"/>
        <item x="168"/>
        <item x="413"/>
        <item x="180"/>
        <item x="13"/>
        <item x="222"/>
        <item x="497"/>
        <item x="183"/>
        <item x="353"/>
        <item x="516"/>
        <item x="167"/>
        <item x="0"/>
        <item x="12"/>
        <item x="547"/>
        <item x="450"/>
        <item x="56"/>
        <item x="433"/>
        <item x="103"/>
        <item x="283"/>
        <item x="542"/>
        <item x="568"/>
        <item x="327"/>
        <item x="328"/>
        <item x="473"/>
        <item x="50"/>
        <item x="415"/>
        <item x="436"/>
        <item x="51"/>
        <item x="586"/>
        <item x="217"/>
        <item x="560"/>
        <item x="298"/>
        <item x="232"/>
        <item x="484"/>
        <item x="22"/>
        <item x="546"/>
        <item x="125"/>
        <item x="220"/>
        <item x="300"/>
        <item x="305"/>
        <item x="178"/>
        <item x="109"/>
        <item x="477"/>
        <item x="235"/>
        <item x="302"/>
        <item x="375"/>
        <item x="408"/>
        <item x="117"/>
        <item x="173"/>
        <item x="582"/>
        <item x="271"/>
        <item x="334"/>
        <item x="527"/>
        <item x="445"/>
        <item x="92"/>
        <item x="407"/>
        <item x="488"/>
        <item x="381"/>
        <item x="176"/>
        <item x="349"/>
        <item x="97"/>
        <item x="34"/>
        <item x="574"/>
        <item x="403"/>
        <item x="170"/>
        <item x="313"/>
        <item x="75"/>
        <item x="307"/>
        <item x="52"/>
        <item x="156"/>
        <item x="267"/>
        <item x="6"/>
        <item x="532"/>
        <item x="137"/>
        <item x="140"/>
        <item x="139"/>
        <item x="364"/>
        <item x="290"/>
        <item x="367"/>
        <item x="345"/>
        <item x="372"/>
        <item x="247"/>
        <item x="99"/>
        <item x="419"/>
        <item x="318"/>
        <item x="495"/>
        <item x="272"/>
        <item x="341"/>
        <item x="581"/>
        <item x="500"/>
        <item x="184"/>
        <item x="248"/>
        <item x="333"/>
        <item x="303"/>
        <item x="348"/>
        <item x="371"/>
        <item x="219"/>
        <item x="571"/>
        <item x="190"/>
        <item x="442"/>
        <item x="113"/>
        <item x="347"/>
        <item x="95"/>
        <item x="322"/>
        <item x="383"/>
        <item x="310"/>
        <item x="159"/>
        <item x="308"/>
        <item x="150"/>
        <item x="279"/>
        <item x="331"/>
        <item x="89"/>
        <item x="121"/>
        <item x="569"/>
        <item x="21"/>
        <item x="142"/>
        <item x="191"/>
        <item x="57"/>
        <item x="54"/>
        <item x="149"/>
        <item x="467"/>
        <item x="567"/>
        <item x="174"/>
        <item x="544"/>
        <item x="194"/>
        <item x="388"/>
        <item x="469"/>
        <item x="254"/>
        <item x="175"/>
        <item x="281"/>
        <item x="266"/>
        <item x="562"/>
        <item x="73"/>
        <item x="228"/>
        <item x="187"/>
        <item x="418"/>
        <item x="360"/>
        <item x="231"/>
        <item x="205"/>
        <item x="449"/>
        <item x="559"/>
        <item x="233"/>
        <item x="94"/>
        <item x="285"/>
        <item x="428"/>
        <item x="131"/>
        <item x="192"/>
        <item x="580"/>
        <item x="172"/>
        <item x="215"/>
        <item x="196"/>
        <item x="399"/>
        <item x="181"/>
        <item x="343"/>
        <item x="278"/>
        <item x="268"/>
        <item x="528"/>
        <item x="517"/>
        <item x="426"/>
        <item x="470"/>
        <item x="316"/>
        <item x="68"/>
        <item x="447"/>
        <item x="324"/>
        <item x="511"/>
        <item x="252"/>
        <item x="86"/>
        <item x="153"/>
        <item x="258"/>
        <item x="457"/>
        <item x="29"/>
        <item x="351"/>
        <item x="132"/>
        <item x="169"/>
        <item x="493"/>
        <item x="438"/>
        <item x="337"/>
        <item x="124"/>
        <item x="107"/>
        <item x="441"/>
        <item x="280"/>
        <item x="518"/>
        <item x="301"/>
        <item x="136"/>
        <item x="225"/>
        <item x="529"/>
        <item x="58"/>
        <item x="566"/>
        <item x="499"/>
        <item x="395"/>
        <item x="263"/>
        <item x="575"/>
        <item x="376"/>
        <item x="309"/>
        <item x="551"/>
        <item x="243"/>
        <item x="53"/>
        <item x="119"/>
        <item x="526"/>
        <item x="143"/>
        <item x="539"/>
        <item x="555"/>
        <item x="507"/>
        <item x="578"/>
        <item x="123"/>
        <item x="155"/>
        <item x="24"/>
        <item x="245"/>
        <item x="552"/>
        <item x="332"/>
        <item x="452"/>
        <item x="404"/>
        <item x="315"/>
        <item x="4"/>
        <item x="15"/>
        <item x="111"/>
        <item x="412"/>
        <item x="204"/>
        <item x="37"/>
        <item x="584"/>
        <item x="417"/>
        <item x="100"/>
        <item x="45"/>
        <item x="200"/>
        <item x="101"/>
        <item x="179"/>
        <item x="264"/>
        <item x="524"/>
        <item x="154"/>
        <item x="356"/>
        <item x="377"/>
        <item x="166"/>
        <item x="144"/>
        <item x="311"/>
        <item x="74"/>
        <item x="31"/>
        <item x="48"/>
        <item x="66"/>
        <item x="306"/>
        <item x="223"/>
        <item x="466"/>
        <item x="265"/>
        <item x="135"/>
        <item x="11"/>
        <item x="218"/>
        <item x="523"/>
        <item x="85"/>
        <item x="545"/>
        <item x="474"/>
        <item x="236"/>
        <item x="80"/>
        <item x="453"/>
        <item x="550"/>
        <item x="129"/>
        <item x="344"/>
        <item x="47"/>
        <item x="572"/>
        <item x="512"/>
        <item x="513"/>
        <item x="262"/>
        <item t="default"/>
      </items>
    </pivotField>
    <pivotField compact="0" outline="0" showAll="0"/>
    <pivotField compact="0" outline="0" showAll="0">
      <items count="11">
        <item x="0"/>
        <item x="8"/>
        <item x="3"/>
        <item x="7"/>
        <item x="5"/>
        <item x="2"/>
        <item x="6"/>
        <item x="9"/>
        <item x="1"/>
        <item x="4"/>
        <item t="default"/>
      </items>
    </pivotField>
    <pivotField axis="axisRow" compact="0" outline="0" showAll="0">
      <items count="11">
        <item x="4"/>
        <item x="8"/>
        <item x="5"/>
        <item x="1"/>
        <item x="9"/>
        <item x="6"/>
        <item x="2"/>
        <item x="3"/>
        <item x="0"/>
        <item x="7"/>
        <item t="default"/>
      </items>
    </pivotField>
    <pivotField compact="0" numFmtId="14" outline="0" showAll="0">
      <items count="12">
        <item x="1"/>
        <item x="6"/>
        <item x="4"/>
        <item x="0"/>
        <item x="5"/>
        <item x="2"/>
        <item x="10"/>
        <item x="7"/>
        <item x="9"/>
        <item x="8"/>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4"/>
  </rowFields>
  <rowItems count="1179">
    <i>
      <x/>
      <x v="2"/>
    </i>
    <i t="default">
      <x/>
    </i>
    <i>
      <x v="1"/>
      <x v="3"/>
    </i>
    <i t="default">
      <x v="1"/>
    </i>
    <i>
      <x v="2"/>
      <x v="2"/>
    </i>
    <i t="default">
      <x v="2"/>
    </i>
    <i>
      <x v="3"/>
      <x v="2"/>
    </i>
    <i t="default">
      <x v="3"/>
    </i>
    <i>
      <x v="4"/>
      <x v="4"/>
    </i>
    <i t="default">
      <x v="4"/>
    </i>
    <i>
      <x v="5"/>
      <x v="2"/>
    </i>
    <i t="default">
      <x v="5"/>
    </i>
    <i>
      <x v="6"/>
      <x v="2"/>
    </i>
    <i t="default">
      <x v="6"/>
    </i>
    <i>
      <x v="7"/>
      <x v="2"/>
    </i>
    <i t="default">
      <x v="7"/>
    </i>
    <i>
      <x v="8"/>
      <x v="2"/>
    </i>
    <i t="default">
      <x v="8"/>
    </i>
    <i>
      <x v="9"/>
      <x v="2"/>
    </i>
    <i t="default">
      <x v="9"/>
    </i>
    <i>
      <x v="10"/>
      <x v="5"/>
    </i>
    <i t="default">
      <x v="10"/>
    </i>
    <i>
      <x v="11"/>
      <x v="2"/>
    </i>
    <i t="default">
      <x v="11"/>
    </i>
    <i>
      <x v="12"/>
      <x v="6"/>
    </i>
    <i t="default">
      <x v="12"/>
    </i>
    <i>
      <x v="13"/>
      <x v="6"/>
    </i>
    <i t="default">
      <x v="13"/>
    </i>
    <i>
      <x v="14"/>
      <x v="6"/>
    </i>
    <i t="default">
      <x v="14"/>
    </i>
    <i>
      <x v="15"/>
      <x v="3"/>
    </i>
    <i t="default">
      <x v="15"/>
    </i>
    <i>
      <x v="16"/>
      <x v="6"/>
    </i>
    <i t="default">
      <x v="16"/>
    </i>
    <i>
      <x v="17"/>
      <x v="6"/>
    </i>
    <i t="default">
      <x v="17"/>
    </i>
    <i>
      <x v="18"/>
      <x v="6"/>
    </i>
    <i t="default">
      <x v="18"/>
    </i>
    <i>
      <x v="19"/>
      <x v="6"/>
    </i>
    <i t="default">
      <x v="19"/>
    </i>
    <i>
      <x v="20"/>
      <x v="6"/>
    </i>
    <i t="default">
      <x v="20"/>
    </i>
    <i>
      <x v="21"/>
      <x v="6"/>
    </i>
    <i t="default">
      <x v="21"/>
    </i>
    <i>
      <x v="22"/>
      <x v="6"/>
    </i>
    <i t="default">
      <x v="22"/>
    </i>
    <i>
      <x v="23"/>
      <x v="7"/>
    </i>
    <i t="default">
      <x v="23"/>
    </i>
    <i>
      <x v="24"/>
      <x v="9"/>
    </i>
    <i t="default">
      <x v="24"/>
    </i>
    <i>
      <x v="25"/>
      <x v="9"/>
    </i>
    <i t="default">
      <x v="25"/>
    </i>
    <i>
      <x v="26"/>
      <x/>
    </i>
    <i t="default">
      <x v="26"/>
    </i>
    <i>
      <x v="27"/>
      <x v="7"/>
    </i>
    <i t="default">
      <x v="27"/>
    </i>
    <i>
      <x v="28"/>
      <x v="7"/>
    </i>
    <i t="default">
      <x v="28"/>
    </i>
    <i>
      <x v="29"/>
      <x v="7"/>
    </i>
    <i t="default">
      <x v="29"/>
    </i>
    <i>
      <x v="30"/>
      <x v="7"/>
    </i>
    <i t="default">
      <x v="30"/>
    </i>
    <i>
      <x v="31"/>
      <x v="8"/>
    </i>
    <i t="default">
      <x v="31"/>
    </i>
    <i>
      <x v="32"/>
      <x v="7"/>
    </i>
    <i t="default">
      <x v="32"/>
    </i>
    <i>
      <x v="33"/>
      <x v="7"/>
    </i>
    <i t="default">
      <x v="33"/>
    </i>
    <i>
      <x v="34"/>
      <x v="2"/>
    </i>
    <i t="default">
      <x v="34"/>
    </i>
    <i>
      <x v="35"/>
      <x v="2"/>
    </i>
    <i t="default">
      <x v="35"/>
    </i>
    <i>
      <x v="36"/>
      <x v="2"/>
    </i>
    <i t="default">
      <x v="36"/>
    </i>
    <i>
      <x v="37"/>
      <x v="2"/>
    </i>
    <i t="default">
      <x v="37"/>
    </i>
    <i>
      <x v="38"/>
      <x v="2"/>
    </i>
    <i t="default">
      <x v="38"/>
    </i>
    <i>
      <x v="39"/>
      <x v="2"/>
    </i>
    <i t="default">
      <x v="39"/>
    </i>
    <i>
      <x v="40"/>
      <x v="2"/>
    </i>
    <i t="default">
      <x v="40"/>
    </i>
    <i>
      <x v="41"/>
      <x v="2"/>
    </i>
    <i t="default">
      <x v="41"/>
    </i>
    <i>
      <x v="42"/>
      <x v="6"/>
    </i>
    <i t="default">
      <x v="42"/>
    </i>
    <i>
      <x v="43"/>
      <x v="2"/>
    </i>
    <i t="default">
      <x v="43"/>
    </i>
    <i>
      <x v="44"/>
      <x v="2"/>
    </i>
    <i t="default">
      <x v="44"/>
    </i>
    <i>
      <x v="45"/>
      <x v="2"/>
    </i>
    <i t="default">
      <x v="45"/>
    </i>
    <i>
      <x v="46"/>
      <x v="3"/>
    </i>
    <i t="default">
      <x v="46"/>
    </i>
    <i>
      <x v="47"/>
      <x v="6"/>
    </i>
    <i t="default">
      <x v="47"/>
    </i>
    <i>
      <x v="48"/>
      <x v="6"/>
    </i>
    <i t="default">
      <x v="48"/>
    </i>
    <i>
      <x v="49"/>
      <x v="6"/>
    </i>
    <i t="default">
      <x v="49"/>
    </i>
    <i>
      <x v="50"/>
      <x v="1"/>
    </i>
    <i t="default">
      <x v="50"/>
    </i>
    <i>
      <x v="51"/>
      <x v="6"/>
    </i>
    <i t="default">
      <x v="51"/>
    </i>
    <i>
      <x v="52"/>
      <x v="6"/>
    </i>
    <i t="default">
      <x v="52"/>
    </i>
    <i>
      <x v="53"/>
      <x v="2"/>
    </i>
    <i t="default">
      <x v="53"/>
    </i>
    <i>
      <x v="54"/>
      <x v="6"/>
    </i>
    <i t="default">
      <x v="54"/>
    </i>
    <i>
      <x v="55"/>
      <x v="6"/>
    </i>
    <i t="default">
      <x v="55"/>
    </i>
    <i>
      <x v="56"/>
      <x v="1"/>
    </i>
    <i t="default">
      <x v="56"/>
    </i>
    <i>
      <x v="57"/>
      <x v="6"/>
    </i>
    <i t="default">
      <x v="57"/>
    </i>
    <i>
      <x v="58"/>
      <x v="6"/>
    </i>
    <i t="default">
      <x v="58"/>
    </i>
    <i>
      <x v="59"/>
      <x v="2"/>
    </i>
    <i t="default">
      <x v="59"/>
    </i>
    <i>
      <x v="60"/>
      <x v="2"/>
    </i>
    <i t="default">
      <x v="60"/>
    </i>
    <i>
      <x v="61"/>
      <x v="4"/>
    </i>
    <i t="default">
      <x v="61"/>
    </i>
    <i>
      <x v="62"/>
      <x v="2"/>
    </i>
    <i t="default">
      <x v="62"/>
    </i>
    <i>
      <x v="63"/>
      <x v="2"/>
    </i>
    <i t="default">
      <x v="63"/>
    </i>
    <i>
      <x v="64"/>
      <x v="2"/>
    </i>
    <i t="default">
      <x v="64"/>
    </i>
    <i>
      <x v="65"/>
      <x v="2"/>
    </i>
    <i t="default">
      <x v="65"/>
    </i>
    <i>
      <x v="66"/>
      <x v="2"/>
    </i>
    <i t="default">
      <x v="66"/>
    </i>
    <i>
      <x v="67"/>
      <x v="2"/>
    </i>
    <i t="default">
      <x v="67"/>
    </i>
    <i>
      <x v="68"/>
      <x v="2"/>
    </i>
    <i t="default">
      <x v="68"/>
    </i>
    <i>
      <x v="69"/>
      <x v="3"/>
    </i>
    <i t="default">
      <x v="69"/>
    </i>
    <i>
      <x v="70"/>
      <x v="5"/>
    </i>
    <i t="default">
      <x v="70"/>
    </i>
    <i>
      <x v="71"/>
      <x v="3"/>
    </i>
    <i t="default">
      <x v="71"/>
    </i>
    <i>
      <x v="72"/>
      <x v="7"/>
    </i>
    <i t="default">
      <x v="72"/>
    </i>
    <i>
      <x v="73"/>
      <x v="3"/>
    </i>
    <i t="default">
      <x v="73"/>
    </i>
    <i>
      <x v="74"/>
      <x v="8"/>
    </i>
    <i t="default">
      <x v="74"/>
    </i>
    <i>
      <x v="75"/>
      <x v="3"/>
    </i>
    <i t="default">
      <x v="75"/>
    </i>
    <i>
      <x v="76"/>
      <x v="3"/>
    </i>
    <i t="default">
      <x v="76"/>
    </i>
    <i>
      <x v="77"/>
      <x v="3"/>
    </i>
    <i t="default">
      <x v="77"/>
    </i>
    <i>
      <x v="78"/>
      <x v="3"/>
    </i>
    <i t="default">
      <x v="78"/>
    </i>
    <i>
      <x v="79"/>
      <x v="3"/>
    </i>
    <i t="default">
      <x v="79"/>
    </i>
    <i>
      <x v="80"/>
      <x v="3"/>
    </i>
    <i t="default">
      <x v="80"/>
    </i>
    <i>
      <x v="81"/>
      <x v="2"/>
    </i>
    <i t="default">
      <x v="81"/>
    </i>
    <i>
      <x v="82"/>
      <x v="5"/>
    </i>
    <i t="default">
      <x v="82"/>
    </i>
    <i>
      <x v="83"/>
      <x v="2"/>
    </i>
    <i t="default">
      <x v="83"/>
    </i>
    <i>
      <x v="84"/>
      <x v="2"/>
    </i>
    <i t="default">
      <x v="84"/>
    </i>
    <i>
      <x v="85"/>
      <x v="7"/>
    </i>
    <i t="default">
      <x v="85"/>
    </i>
    <i>
      <x v="86"/>
      <x v="2"/>
    </i>
    <i t="default">
      <x v="86"/>
    </i>
    <i>
      <x v="87"/>
      <x v="2"/>
    </i>
    <i t="default">
      <x v="87"/>
    </i>
    <i>
      <x v="88"/>
      <x v="9"/>
    </i>
    <i t="default">
      <x v="88"/>
    </i>
    <i>
      <x v="89"/>
      <x v="2"/>
    </i>
    <i t="default">
      <x v="89"/>
    </i>
    <i>
      <x v="90"/>
      <x v="2"/>
    </i>
    <i t="default">
      <x v="90"/>
    </i>
    <i>
      <x v="91"/>
      <x v="2"/>
    </i>
    <i t="default">
      <x v="91"/>
    </i>
    <i>
      <x v="92"/>
      <x v="2"/>
    </i>
    <i t="default">
      <x v="92"/>
    </i>
    <i>
      <x v="93"/>
      <x v="5"/>
    </i>
    <i t="default">
      <x v="93"/>
    </i>
    <i>
      <x v="94"/>
      <x/>
    </i>
    <i t="default">
      <x v="94"/>
    </i>
    <i>
      <x v="95"/>
      <x/>
    </i>
    <i t="default">
      <x v="95"/>
    </i>
    <i>
      <x v="96"/>
      <x v="4"/>
    </i>
    <i t="default">
      <x v="96"/>
    </i>
    <i>
      <x v="97"/>
      <x v="7"/>
    </i>
    <i t="default">
      <x v="97"/>
    </i>
    <i>
      <x v="98"/>
      <x/>
    </i>
    <i t="default">
      <x v="98"/>
    </i>
    <i>
      <x v="99"/>
      <x/>
    </i>
    <i t="default">
      <x v="99"/>
    </i>
    <i>
      <x v="100"/>
      <x v="1"/>
    </i>
    <i t="default">
      <x v="100"/>
    </i>
    <i>
      <x v="101"/>
      <x/>
    </i>
    <i t="default">
      <x v="101"/>
    </i>
    <i>
      <x v="102"/>
      <x v="1"/>
    </i>
    <i t="default">
      <x v="102"/>
    </i>
    <i>
      <x v="103"/>
      <x/>
    </i>
    <i t="default">
      <x v="103"/>
    </i>
    <i>
      <x v="104"/>
      <x v="8"/>
    </i>
    <i t="default">
      <x v="104"/>
    </i>
    <i>
      <x v="105"/>
      <x v="4"/>
    </i>
    <i t="default">
      <x v="105"/>
    </i>
    <i>
      <x v="106"/>
      <x/>
    </i>
    <i t="default">
      <x v="106"/>
    </i>
    <i>
      <x v="107"/>
      <x/>
    </i>
    <i t="default">
      <x v="107"/>
    </i>
    <i>
      <x v="108"/>
      <x/>
    </i>
    <i t="default">
      <x v="108"/>
    </i>
    <i>
      <x v="109"/>
      <x/>
    </i>
    <i t="default">
      <x v="109"/>
    </i>
    <i>
      <x v="110"/>
      <x/>
    </i>
    <i t="default">
      <x v="110"/>
    </i>
    <i>
      <x v="111"/>
      <x/>
    </i>
    <i t="default">
      <x v="111"/>
    </i>
    <i>
      <x v="112"/>
      <x/>
    </i>
    <i t="default">
      <x v="112"/>
    </i>
    <i>
      <x v="113"/>
      <x v="6"/>
    </i>
    <i t="default">
      <x v="113"/>
    </i>
    <i>
      <x v="114"/>
      <x/>
    </i>
    <i t="default">
      <x v="114"/>
    </i>
    <i>
      <x v="115"/>
      <x/>
    </i>
    <i t="default">
      <x v="115"/>
    </i>
    <i>
      <x v="116"/>
      <x v="6"/>
    </i>
    <i t="default">
      <x v="116"/>
    </i>
    <i>
      <x v="117"/>
      <x v="3"/>
    </i>
    <i t="default">
      <x v="117"/>
    </i>
    <i>
      <x v="118"/>
      <x v="3"/>
    </i>
    <i t="default">
      <x v="118"/>
    </i>
    <i>
      <x v="119"/>
      <x v="3"/>
    </i>
    <i t="default">
      <x v="119"/>
    </i>
    <i>
      <x v="120"/>
      <x v="3"/>
    </i>
    <i t="default">
      <x v="120"/>
    </i>
    <i>
      <x v="121"/>
      <x v="3"/>
    </i>
    <i t="default">
      <x v="121"/>
    </i>
    <i>
      <x v="122"/>
      <x v="1"/>
    </i>
    <i t="default">
      <x v="122"/>
    </i>
    <i>
      <x v="123"/>
      <x v="1"/>
    </i>
    <i t="default">
      <x v="123"/>
    </i>
    <i>
      <x v="124"/>
      <x v="3"/>
    </i>
    <i t="default">
      <x v="124"/>
    </i>
    <i>
      <x v="125"/>
      <x v="7"/>
    </i>
    <i t="default">
      <x v="125"/>
    </i>
    <i>
      <x v="126"/>
      <x v="3"/>
    </i>
    <i t="default">
      <x v="126"/>
    </i>
    <i>
      <x v="127"/>
      <x v="3"/>
    </i>
    <i t="default">
      <x v="127"/>
    </i>
    <i>
      <x v="128"/>
      <x v="3"/>
    </i>
    <i t="default">
      <x v="128"/>
    </i>
    <i>
      <x v="129"/>
      <x v="6"/>
    </i>
    <i t="default">
      <x v="129"/>
    </i>
    <i>
      <x v="130"/>
      <x v="6"/>
    </i>
    <i t="default">
      <x v="130"/>
    </i>
    <i>
      <x v="131"/>
      <x v="6"/>
    </i>
    <i t="default">
      <x v="131"/>
    </i>
    <i>
      <x v="132"/>
      <x v="6"/>
    </i>
    <i t="default">
      <x v="132"/>
    </i>
    <i>
      <x v="133"/>
      <x v="6"/>
    </i>
    <i t="default">
      <x v="133"/>
    </i>
    <i>
      <x v="134"/>
      <x v="2"/>
    </i>
    <i t="default">
      <x v="134"/>
    </i>
    <i>
      <x v="135"/>
      <x v="6"/>
    </i>
    <i t="default">
      <x v="135"/>
    </i>
    <i>
      <x v="136"/>
      <x v="6"/>
    </i>
    <i t="default">
      <x v="136"/>
    </i>
    <i>
      <x v="137"/>
      <x v="8"/>
    </i>
    <i t="default">
      <x v="137"/>
    </i>
    <i>
      <x v="138"/>
      <x v="8"/>
    </i>
    <i t="default">
      <x v="138"/>
    </i>
    <i>
      <x v="139"/>
      <x/>
    </i>
    <i t="default">
      <x v="139"/>
    </i>
    <i>
      <x v="140"/>
      <x v="6"/>
    </i>
    <i t="default">
      <x v="140"/>
    </i>
    <i>
      <x v="141"/>
      <x v="2"/>
    </i>
    <i t="default">
      <x v="141"/>
    </i>
    <i>
      <x v="142"/>
      <x v="2"/>
    </i>
    <i t="default">
      <x v="142"/>
    </i>
    <i>
      <x v="143"/>
      <x v="2"/>
    </i>
    <i t="default">
      <x v="143"/>
    </i>
    <i>
      <x v="144"/>
      <x v="2"/>
    </i>
    <i t="default">
      <x v="144"/>
    </i>
    <i>
      <x v="145"/>
      <x v="2"/>
    </i>
    <i t="default">
      <x v="145"/>
    </i>
    <i>
      <x v="146"/>
      <x v="2"/>
    </i>
    <i t="default">
      <x v="146"/>
    </i>
    <i>
      <x v="147"/>
      <x v="2"/>
    </i>
    <i t="default">
      <x v="147"/>
    </i>
    <i>
      <x v="148"/>
      <x v="2"/>
    </i>
    <i t="default">
      <x v="148"/>
    </i>
    <i>
      <x v="149"/>
      <x v="2"/>
    </i>
    <i t="default">
      <x v="149"/>
    </i>
    <i>
      <x v="150"/>
      <x v="2"/>
    </i>
    <i t="default">
      <x v="150"/>
    </i>
    <i>
      <x v="151"/>
      <x v="8"/>
    </i>
    <i t="default">
      <x v="151"/>
    </i>
    <i>
      <x v="152"/>
      <x v="2"/>
    </i>
    <i t="default">
      <x v="152"/>
    </i>
    <i>
      <x v="153"/>
      <x v="6"/>
    </i>
    <i t="default">
      <x v="153"/>
    </i>
    <i>
      <x v="154"/>
      <x v="6"/>
    </i>
    <i t="default">
      <x v="154"/>
    </i>
    <i>
      <x v="155"/>
      <x v="6"/>
    </i>
    <i t="default">
      <x v="155"/>
    </i>
    <i>
      <x v="156"/>
      <x v="6"/>
    </i>
    <i t="default">
      <x v="156"/>
    </i>
    <i>
      <x v="157"/>
      <x v="6"/>
    </i>
    <i t="default">
      <x v="157"/>
    </i>
    <i>
      <x v="158"/>
      <x v="6"/>
    </i>
    <i t="default">
      <x v="158"/>
    </i>
    <i>
      <x v="159"/>
      <x v="6"/>
    </i>
    <i t="default">
      <x v="159"/>
    </i>
    <i>
      <x v="160"/>
      <x v="6"/>
    </i>
    <i t="default">
      <x v="160"/>
    </i>
    <i>
      <x v="161"/>
      <x v="6"/>
    </i>
    <i t="default">
      <x v="161"/>
    </i>
    <i>
      <x v="162"/>
      <x v="6"/>
    </i>
    <i t="default">
      <x v="162"/>
    </i>
    <i>
      <x v="163"/>
      <x v="6"/>
    </i>
    <i t="default">
      <x v="163"/>
    </i>
    <i>
      <x v="164"/>
      <x/>
    </i>
    <i t="default">
      <x v="164"/>
    </i>
    <i>
      <x v="165"/>
      <x v="6"/>
    </i>
    <i t="default">
      <x v="165"/>
    </i>
    <i>
      <x v="166"/>
      <x v="6"/>
    </i>
    <i t="default">
      <x v="166"/>
    </i>
    <i>
      <x v="167"/>
      <x v="6"/>
    </i>
    <i t="default">
      <x v="167"/>
    </i>
    <i>
      <x v="168"/>
      <x v="6"/>
    </i>
    <i t="default">
      <x v="168"/>
    </i>
    <i>
      <x v="169"/>
      <x v="5"/>
    </i>
    <i t="default">
      <x v="169"/>
    </i>
    <i>
      <x v="170"/>
      <x v="8"/>
    </i>
    <i t="default">
      <x v="170"/>
    </i>
    <i>
      <x v="171"/>
      <x v="9"/>
    </i>
    <i t="default">
      <x v="171"/>
    </i>
    <i>
      <x v="172"/>
      <x v="6"/>
    </i>
    <i t="default">
      <x v="172"/>
    </i>
    <i>
      <x v="173"/>
      <x v="6"/>
    </i>
    <i t="default">
      <x v="173"/>
    </i>
    <i>
      <x v="174"/>
      <x v="6"/>
    </i>
    <i t="default">
      <x v="174"/>
    </i>
    <i>
      <x v="175"/>
      <x v="6"/>
    </i>
    <i t="default">
      <x v="175"/>
    </i>
    <i>
      <x v="176"/>
      <x v="6"/>
    </i>
    <i t="default">
      <x v="176"/>
    </i>
    <i>
      <x v="177"/>
      <x v="6"/>
    </i>
    <i t="default">
      <x v="177"/>
    </i>
    <i>
      <x v="178"/>
      <x v="6"/>
    </i>
    <i t="default">
      <x v="178"/>
    </i>
    <i>
      <x v="179"/>
      <x v="6"/>
    </i>
    <i t="default">
      <x v="179"/>
    </i>
    <i>
      <x v="180"/>
      <x v="6"/>
    </i>
    <i t="default">
      <x v="180"/>
    </i>
    <i>
      <x v="181"/>
      <x v="3"/>
    </i>
    <i t="default">
      <x v="181"/>
    </i>
    <i>
      <x v="182"/>
      <x v="6"/>
    </i>
    <i t="default">
      <x v="182"/>
    </i>
    <i>
      <x v="183"/>
      <x v="6"/>
    </i>
    <i t="default">
      <x v="183"/>
    </i>
    <i>
      <x v="184"/>
      <x v="6"/>
    </i>
    <i t="default">
      <x v="184"/>
    </i>
    <i>
      <x v="185"/>
      <x v="6"/>
    </i>
    <i t="default">
      <x v="185"/>
    </i>
    <i>
      <x v="186"/>
      <x v="6"/>
    </i>
    <i t="default">
      <x v="186"/>
    </i>
    <i>
      <x v="187"/>
      <x v="6"/>
    </i>
    <i t="default">
      <x v="187"/>
    </i>
    <i>
      <x v="188"/>
      <x/>
    </i>
    <i t="default">
      <x v="188"/>
    </i>
    <i>
      <x v="189"/>
      <x v="3"/>
    </i>
    <i t="default">
      <x v="189"/>
    </i>
    <i>
      <x v="190"/>
      <x v="3"/>
    </i>
    <i t="default">
      <x v="190"/>
    </i>
    <i>
      <x v="191"/>
      <x v="3"/>
    </i>
    <i t="default">
      <x v="191"/>
    </i>
    <i>
      <x v="192"/>
      <x v="2"/>
    </i>
    <i t="default">
      <x v="192"/>
    </i>
    <i>
      <x v="193"/>
      <x v="3"/>
    </i>
    <i t="default">
      <x v="193"/>
    </i>
    <i>
      <x v="194"/>
      <x v="3"/>
    </i>
    <i t="default">
      <x v="194"/>
    </i>
    <i>
      <x v="195"/>
      <x v="9"/>
    </i>
    <i t="default">
      <x v="195"/>
    </i>
    <i>
      <x v="196"/>
      <x v="3"/>
    </i>
    <i t="default">
      <x v="196"/>
    </i>
    <i>
      <x v="197"/>
      <x v="1"/>
    </i>
    <i t="default">
      <x v="197"/>
    </i>
    <i>
      <x v="198"/>
      <x v="3"/>
    </i>
    <i t="default">
      <x v="198"/>
    </i>
    <i>
      <x v="199"/>
      <x v="3"/>
    </i>
    <i t="default">
      <x v="199"/>
    </i>
    <i>
      <x v="200"/>
      <x v="5"/>
    </i>
    <i t="default">
      <x v="200"/>
    </i>
    <i>
      <x v="201"/>
      <x v="2"/>
    </i>
    <i t="default">
      <x v="201"/>
    </i>
    <i>
      <x v="202"/>
      <x/>
    </i>
    <i t="default">
      <x v="202"/>
    </i>
    <i>
      <x v="203"/>
      <x v="2"/>
    </i>
    <i t="default">
      <x v="203"/>
    </i>
    <i>
      <x v="204"/>
      <x v="2"/>
    </i>
    <i t="default">
      <x v="204"/>
    </i>
    <i>
      <x v="205"/>
      <x/>
    </i>
    <i t="default">
      <x v="205"/>
    </i>
    <i>
      <x v="206"/>
      <x v="1"/>
    </i>
    <i t="default">
      <x v="206"/>
    </i>
    <i>
      <x v="207"/>
      <x v="2"/>
    </i>
    <i t="default">
      <x v="207"/>
    </i>
    <i>
      <x v="208"/>
      <x v="2"/>
    </i>
    <i t="default">
      <x v="208"/>
    </i>
    <i>
      <x v="209"/>
      <x v="4"/>
    </i>
    <i t="default">
      <x v="209"/>
    </i>
    <i>
      <x v="210"/>
      <x v="2"/>
    </i>
    <i t="default">
      <x v="210"/>
    </i>
    <i>
      <x v="211"/>
      <x v="2"/>
    </i>
    <i t="default">
      <x v="211"/>
    </i>
    <i>
      <x v="212"/>
      <x v="6"/>
    </i>
    <i t="default">
      <x v="212"/>
    </i>
    <i>
      <x v="213"/>
      <x v="6"/>
    </i>
    <i t="default">
      <x v="213"/>
    </i>
    <i>
      <x v="214"/>
      <x v="6"/>
    </i>
    <i t="default">
      <x v="214"/>
    </i>
    <i>
      <x v="215"/>
      <x v="6"/>
    </i>
    <i t="default">
      <x v="215"/>
    </i>
    <i>
      <x v="216"/>
      <x v="6"/>
    </i>
    <i t="default">
      <x v="216"/>
    </i>
    <i>
      <x v="217"/>
      <x v="9"/>
    </i>
    <i t="default">
      <x v="217"/>
    </i>
    <i>
      <x v="218"/>
      <x v="6"/>
    </i>
    <i t="default">
      <x v="218"/>
    </i>
    <i>
      <x v="219"/>
      <x v="6"/>
    </i>
    <i t="default">
      <x v="219"/>
    </i>
    <i>
      <x v="220"/>
      <x v="2"/>
    </i>
    <i t="default">
      <x v="220"/>
    </i>
    <i>
      <x v="221"/>
      <x v="6"/>
    </i>
    <i t="default">
      <x v="221"/>
    </i>
    <i>
      <x v="222"/>
      <x v="6"/>
    </i>
    <i t="default">
      <x v="222"/>
    </i>
    <i>
      <x v="223"/>
      <x v="6"/>
    </i>
    <i t="default">
      <x v="223"/>
    </i>
    <i>
      <x v="224"/>
      <x v="6"/>
    </i>
    <i t="default">
      <x v="224"/>
    </i>
    <i>
      <x v="225"/>
      <x v="6"/>
    </i>
    <i t="default">
      <x v="225"/>
    </i>
    <i>
      <x v="226"/>
      <x v="6"/>
    </i>
    <i t="default">
      <x v="226"/>
    </i>
    <i>
      <x v="227"/>
      <x v="2"/>
    </i>
    <i t="default">
      <x v="227"/>
    </i>
    <i>
      <x v="228"/>
      <x v="6"/>
    </i>
    <i t="default">
      <x v="228"/>
    </i>
    <i>
      <x v="229"/>
      <x v="6"/>
    </i>
    <i t="default">
      <x v="229"/>
    </i>
    <i>
      <x v="230"/>
      <x v="6"/>
    </i>
    <i t="default">
      <x v="230"/>
    </i>
    <i>
      <x v="231"/>
      <x v="6"/>
    </i>
    <i t="default">
      <x v="231"/>
    </i>
    <i>
      <x v="232"/>
      <x v="6"/>
    </i>
    <i t="default">
      <x v="232"/>
    </i>
    <i>
      <x v="233"/>
      <x v="6"/>
    </i>
    <i t="default">
      <x v="233"/>
    </i>
    <i>
      <x v="234"/>
      <x v="6"/>
    </i>
    <i t="default">
      <x v="234"/>
    </i>
    <i>
      <x v="235"/>
      <x v="1"/>
    </i>
    <i t="default">
      <x v="235"/>
    </i>
    <i>
      <x v="236"/>
      <x v="3"/>
    </i>
    <i t="default">
      <x v="236"/>
    </i>
    <i>
      <x v="237"/>
      <x v="6"/>
    </i>
    <i t="default">
      <x v="237"/>
    </i>
    <i>
      <x v="238"/>
      <x v="6"/>
    </i>
    <i t="default">
      <x v="238"/>
    </i>
    <i>
      <x v="239"/>
      <x v="6"/>
    </i>
    <i t="default">
      <x v="239"/>
    </i>
    <i>
      <x v="240"/>
      <x v="6"/>
    </i>
    <i t="default">
      <x v="240"/>
    </i>
    <i>
      <x v="241"/>
      <x v="6"/>
    </i>
    <i t="default">
      <x v="241"/>
    </i>
    <i>
      <x v="242"/>
      <x v="1"/>
    </i>
    <i t="default">
      <x v="242"/>
    </i>
    <i>
      <x v="243"/>
      <x v="1"/>
    </i>
    <i t="default">
      <x v="243"/>
    </i>
    <i>
      <x v="244"/>
      <x v="6"/>
    </i>
    <i t="default">
      <x v="244"/>
    </i>
    <i>
      <x v="245"/>
      <x v="6"/>
    </i>
    <i t="default">
      <x v="245"/>
    </i>
    <i>
      <x v="246"/>
      <x v="6"/>
    </i>
    <i t="default">
      <x v="246"/>
    </i>
    <i>
      <x v="247"/>
      <x v="6"/>
    </i>
    <i t="default">
      <x v="247"/>
    </i>
    <i>
      <x v="248"/>
      <x v="5"/>
    </i>
    <i t="default">
      <x v="248"/>
    </i>
    <i>
      <x v="249"/>
      <x v="2"/>
    </i>
    <i t="default">
      <x v="249"/>
    </i>
    <i>
      <x v="250"/>
      <x v="5"/>
    </i>
    <i t="default">
      <x v="250"/>
    </i>
    <i>
      <x v="251"/>
      <x v="5"/>
    </i>
    <i t="default">
      <x v="251"/>
    </i>
    <i>
      <x v="252"/>
      <x v="6"/>
    </i>
    <i t="default">
      <x v="252"/>
    </i>
    <i>
      <x v="253"/>
      <x v="5"/>
    </i>
    <i t="default">
      <x v="253"/>
    </i>
    <i>
      <x v="254"/>
      <x v="9"/>
    </i>
    <i t="default">
      <x v="254"/>
    </i>
    <i>
      <x v="255"/>
      <x v="5"/>
    </i>
    <i t="default">
      <x v="255"/>
    </i>
    <i>
      <x v="256"/>
      <x v="5"/>
    </i>
    <i t="default">
      <x v="256"/>
    </i>
    <i>
      <x v="257"/>
      <x v="4"/>
    </i>
    <i t="default">
      <x v="257"/>
    </i>
    <i>
      <x v="258"/>
      <x v="5"/>
    </i>
    <i t="default">
      <x v="258"/>
    </i>
    <i>
      <x v="259"/>
      <x v="5"/>
    </i>
    <i t="default">
      <x v="259"/>
    </i>
    <i>
      <x v="260"/>
      <x/>
    </i>
    <i t="default">
      <x v="260"/>
    </i>
    <i>
      <x v="261"/>
      <x v="6"/>
    </i>
    <i t="default">
      <x v="261"/>
    </i>
    <i>
      <x v="262"/>
      <x/>
    </i>
    <i t="default">
      <x v="262"/>
    </i>
    <i>
      <x v="263"/>
      <x v="4"/>
    </i>
    <i t="default">
      <x v="263"/>
    </i>
    <i>
      <x v="264"/>
      <x v="7"/>
    </i>
    <i t="default">
      <x v="264"/>
    </i>
    <i>
      <x v="265"/>
      <x/>
    </i>
    <i t="default">
      <x v="265"/>
    </i>
    <i>
      <x v="266"/>
      <x/>
    </i>
    <i t="default">
      <x v="266"/>
    </i>
    <i>
      <x v="267"/>
      <x v="5"/>
    </i>
    <i t="default">
      <x v="267"/>
    </i>
    <i>
      <x v="268"/>
      <x/>
    </i>
    <i t="default">
      <x v="268"/>
    </i>
    <i>
      <x v="269"/>
      <x v="1"/>
    </i>
    <i t="default">
      <x v="269"/>
    </i>
    <i>
      <x v="270"/>
      <x v="8"/>
    </i>
    <i t="default">
      <x v="270"/>
    </i>
    <i>
      <x v="271"/>
      <x/>
    </i>
    <i t="default">
      <x v="271"/>
    </i>
    <i>
      <x v="272"/>
      <x/>
    </i>
    <i t="default">
      <x v="272"/>
    </i>
    <i>
      <x v="273"/>
      <x/>
    </i>
    <i t="default">
      <x v="273"/>
    </i>
    <i>
      <x v="274"/>
      <x v="5"/>
    </i>
    <i t="default">
      <x v="274"/>
    </i>
    <i>
      <x v="275"/>
      <x/>
    </i>
    <i t="default">
      <x v="275"/>
    </i>
    <i>
      <x v="276"/>
      <x/>
    </i>
    <i t="default">
      <x v="276"/>
    </i>
    <i>
      <x v="277"/>
      <x/>
    </i>
    <i t="default">
      <x v="277"/>
    </i>
    <i>
      <x v="278"/>
      <x/>
    </i>
    <i t="default">
      <x v="278"/>
    </i>
    <i>
      <x v="279"/>
      <x/>
    </i>
    <i t="default">
      <x v="279"/>
    </i>
    <i>
      <x v="280"/>
      <x/>
    </i>
    <i t="default">
      <x v="280"/>
    </i>
    <i>
      <x v="281"/>
      <x/>
    </i>
    <i t="default">
      <x v="281"/>
    </i>
    <i>
      <x v="282"/>
      <x v="3"/>
    </i>
    <i t="default">
      <x v="282"/>
    </i>
    <i>
      <x v="283"/>
      <x v="6"/>
    </i>
    <i t="default">
      <x v="283"/>
    </i>
    <i>
      <x v="284"/>
      <x v="6"/>
    </i>
    <i t="default">
      <x v="284"/>
    </i>
    <i>
      <x v="285"/>
      <x v="6"/>
    </i>
    <i t="default">
      <x v="285"/>
    </i>
    <i>
      <x v="286"/>
      <x v="6"/>
    </i>
    <i t="default">
      <x v="286"/>
    </i>
    <i>
      <x v="287"/>
      <x v="6"/>
    </i>
    <i t="default">
      <x v="287"/>
    </i>
    <i>
      <x v="288"/>
      <x v="6"/>
    </i>
    <i t="default">
      <x v="288"/>
    </i>
    <i>
      <x v="289"/>
      <x v="6"/>
    </i>
    <i t="default">
      <x v="289"/>
    </i>
    <i>
      <x v="290"/>
      <x v="1"/>
    </i>
    <i t="default">
      <x v="290"/>
    </i>
    <i>
      <x v="291"/>
      <x v="5"/>
    </i>
    <i t="default">
      <x v="291"/>
    </i>
    <i>
      <x v="292"/>
      <x v="6"/>
    </i>
    <i t="default">
      <x v="292"/>
    </i>
    <i>
      <x v="293"/>
      <x v="6"/>
    </i>
    <i t="default">
      <x v="293"/>
    </i>
    <i>
      <x v="294"/>
      <x v="6"/>
    </i>
    <i t="default">
      <x v="294"/>
    </i>
    <i>
      <x v="295"/>
      <x v="6"/>
    </i>
    <i t="default">
      <x v="295"/>
    </i>
    <i>
      <x v="296"/>
      <x v="6"/>
    </i>
    <i t="default">
      <x v="296"/>
    </i>
    <i>
      <x v="297"/>
      <x v="6"/>
    </i>
    <i t="default">
      <x v="297"/>
    </i>
    <i>
      <x v="298"/>
      <x v="6"/>
    </i>
    <i t="default">
      <x v="298"/>
    </i>
    <i>
      <x v="299"/>
      <x v="6"/>
    </i>
    <i t="default">
      <x v="299"/>
    </i>
    <i>
      <x v="300"/>
      <x v="6"/>
    </i>
    <i t="default">
      <x v="300"/>
    </i>
    <i>
      <x v="301"/>
      <x v="6"/>
    </i>
    <i t="default">
      <x v="301"/>
    </i>
    <i>
      <x v="302"/>
      <x v="6"/>
    </i>
    <i t="default">
      <x v="302"/>
    </i>
    <i>
      <x v="303"/>
      <x v="9"/>
    </i>
    <i t="default">
      <x v="303"/>
    </i>
    <i>
      <x v="304"/>
      <x v="8"/>
    </i>
    <i t="default">
      <x v="304"/>
    </i>
    <i>
      <x v="305"/>
      <x v="6"/>
    </i>
    <i t="default">
      <x v="305"/>
    </i>
    <i>
      <x v="306"/>
      <x/>
    </i>
    <i t="default">
      <x v="306"/>
    </i>
    <i>
      <x v="307"/>
      <x v="2"/>
    </i>
    <i t="default">
      <x v="307"/>
    </i>
    <i>
      <x v="308"/>
      <x v="6"/>
    </i>
    <i t="default">
      <x v="308"/>
    </i>
    <i>
      <x v="309"/>
      <x v="6"/>
    </i>
    <i t="default">
      <x v="309"/>
    </i>
    <i>
      <x v="310"/>
      <x v="6"/>
    </i>
    <i t="default">
      <x v="310"/>
    </i>
    <i>
      <x v="311"/>
      <x v="6"/>
    </i>
    <i t="default">
      <x v="311"/>
    </i>
    <i>
      <x v="312"/>
      <x v="6"/>
    </i>
    <i t="default">
      <x v="312"/>
    </i>
    <i>
      <x v="313"/>
      <x v="4"/>
    </i>
    <i t="default">
      <x v="313"/>
    </i>
    <i>
      <x v="314"/>
      <x v="6"/>
    </i>
    <i t="default">
      <x v="314"/>
    </i>
    <i>
      <x v="315"/>
      <x v="6"/>
    </i>
    <i t="default">
      <x v="315"/>
    </i>
    <i>
      <x v="316"/>
      <x/>
    </i>
    <i t="default">
      <x v="316"/>
    </i>
    <i>
      <x v="317"/>
      <x v="6"/>
    </i>
    <i t="default">
      <x v="317"/>
    </i>
    <i>
      <x v="318"/>
      <x v="6"/>
    </i>
    <i t="default">
      <x v="318"/>
    </i>
    <i>
      <x v="319"/>
      <x v="6"/>
    </i>
    <i t="default">
      <x v="319"/>
    </i>
    <i>
      <x v="320"/>
      <x v="6"/>
    </i>
    <i t="default">
      <x v="320"/>
    </i>
    <i>
      <x v="321"/>
      <x v="6"/>
    </i>
    <i t="default">
      <x v="321"/>
    </i>
    <i>
      <x v="322"/>
      <x/>
    </i>
    <i t="default">
      <x v="322"/>
    </i>
    <i>
      <x v="323"/>
      <x v="5"/>
    </i>
    <i t="default">
      <x v="323"/>
    </i>
    <i>
      <x v="324"/>
      <x v="6"/>
    </i>
    <i t="default">
      <x v="324"/>
    </i>
    <i>
      <x v="325"/>
      <x v="3"/>
    </i>
    <i t="default">
      <x v="325"/>
    </i>
    <i>
      <x v="326"/>
      <x v="6"/>
    </i>
    <i t="default">
      <x v="326"/>
    </i>
    <i>
      <x v="327"/>
      <x v="6"/>
    </i>
    <i t="default">
      <x v="327"/>
    </i>
    <i>
      <x v="328"/>
      <x v="6"/>
    </i>
    <i t="default">
      <x v="328"/>
    </i>
    <i>
      <x v="329"/>
      <x v="2"/>
    </i>
    <i t="default">
      <x v="329"/>
    </i>
    <i>
      <x v="330"/>
      <x v="2"/>
    </i>
    <i t="default">
      <x v="330"/>
    </i>
    <i>
      <x v="331"/>
      <x v="2"/>
    </i>
    <i t="default">
      <x v="331"/>
    </i>
    <i>
      <x v="332"/>
      <x v="2"/>
    </i>
    <i t="default">
      <x v="332"/>
    </i>
    <i>
      <x v="333"/>
      <x v="2"/>
    </i>
    <i t="default">
      <x v="333"/>
    </i>
    <i>
      <x v="334"/>
      <x v="2"/>
    </i>
    <i t="default">
      <x v="334"/>
    </i>
    <i>
      <x v="335"/>
      <x v="8"/>
    </i>
    <i t="default">
      <x v="335"/>
    </i>
    <i>
      <x v="336"/>
      <x v="7"/>
    </i>
    <i t="default">
      <x v="336"/>
    </i>
    <i>
      <x v="337"/>
      <x v="2"/>
    </i>
    <i t="default">
      <x v="337"/>
    </i>
    <i>
      <x v="338"/>
      <x v="1"/>
    </i>
    <i t="default">
      <x v="338"/>
    </i>
    <i>
      <x v="339"/>
      <x v="2"/>
    </i>
    <i t="default">
      <x v="339"/>
    </i>
    <i>
      <x v="340"/>
      <x v="8"/>
    </i>
    <i t="default">
      <x v="340"/>
    </i>
    <i>
      <x v="341"/>
      <x v="8"/>
    </i>
    <i t="default">
      <x v="341"/>
    </i>
    <i>
      <x v="342"/>
      <x v="3"/>
    </i>
    <i t="default">
      <x v="342"/>
    </i>
    <i>
      <x v="343"/>
      <x v="8"/>
    </i>
    <i t="default">
      <x v="343"/>
    </i>
    <i>
      <x v="344"/>
      <x v="8"/>
    </i>
    <i t="default">
      <x v="344"/>
    </i>
    <i>
      <x v="345"/>
      <x v="9"/>
    </i>
    <i t="default">
      <x v="345"/>
    </i>
    <i>
      <x v="346"/>
      <x v="8"/>
    </i>
    <i t="default">
      <x v="346"/>
    </i>
    <i>
      <x v="347"/>
      <x v="8"/>
    </i>
    <i t="default">
      <x v="347"/>
    </i>
    <i>
      <x v="348"/>
      <x v="6"/>
    </i>
    <i t="default">
      <x v="348"/>
    </i>
    <i>
      <x v="349"/>
      <x v="4"/>
    </i>
    <i t="default">
      <x v="349"/>
    </i>
    <i>
      <x v="350"/>
      <x v="8"/>
    </i>
    <i t="default">
      <x v="350"/>
    </i>
    <i>
      <x v="351"/>
      <x v="4"/>
    </i>
    <i t="default">
      <x v="351"/>
    </i>
    <i>
      <x v="352"/>
      <x v="4"/>
    </i>
    <i t="default">
      <x v="352"/>
    </i>
    <i>
      <x v="353"/>
      <x v="4"/>
    </i>
    <i t="default">
      <x v="353"/>
    </i>
    <i>
      <x v="354"/>
      <x v="4"/>
    </i>
    <i t="default">
      <x v="354"/>
    </i>
    <i>
      <x v="355"/>
      <x v="4"/>
    </i>
    <i t="default">
      <x v="355"/>
    </i>
    <i>
      <x v="356"/>
      <x v="4"/>
    </i>
    <i t="default">
      <x v="356"/>
    </i>
    <i>
      <x v="357"/>
      <x v="2"/>
    </i>
    <i t="default">
      <x v="357"/>
    </i>
    <i>
      <x v="358"/>
      <x v="4"/>
    </i>
    <i t="default">
      <x v="358"/>
    </i>
    <i>
      <x v="359"/>
      <x v="4"/>
    </i>
    <i t="default">
      <x v="359"/>
    </i>
    <i>
      <x v="360"/>
      <x v="2"/>
    </i>
    <i t="default">
      <x v="360"/>
    </i>
    <i>
      <x v="361"/>
      <x v="3"/>
    </i>
    <i t="default">
      <x v="361"/>
    </i>
    <i>
      <x v="362"/>
      <x v="4"/>
    </i>
    <i t="default">
      <x v="362"/>
    </i>
    <i>
      <x v="363"/>
      <x/>
    </i>
    <i t="default">
      <x v="363"/>
    </i>
    <i>
      <x v="364"/>
      <x/>
    </i>
    <i t="default">
      <x v="364"/>
    </i>
    <i>
      <x v="365"/>
      <x v="1"/>
    </i>
    <i t="default">
      <x v="365"/>
    </i>
    <i>
      <x v="366"/>
      <x/>
    </i>
    <i t="default">
      <x v="366"/>
    </i>
    <i>
      <x v="367"/>
      <x/>
    </i>
    <i t="default">
      <x v="367"/>
    </i>
    <i>
      <x v="368"/>
      <x v="9"/>
    </i>
    <i t="default">
      <x v="368"/>
    </i>
    <i>
      <x v="369"/>
      <x/>
    </i>
    <i t="default">
      <x v="369"/>
    </i>
    <i>
      <x v="370"/>
      <x v="8"/>
    </i>
    <i t="default">
      <x v="370"/>
    </i>
    <i>
      <x v="371"/>
      <x/>
    </i>
    <i t="default">
      <x v="371"/>
    </i>
    <i>
      <x v="372"/>
      <x v="1"/>
    </i>
    <i t="default">
      <x v="372"/>
    </i>
    <i>
      <x v="373"/>
      <x/>
    </i>
    <i t="default">
      <x v="373"/>
    </i>
    <i>
      <x v="374"/>
      <x v="1"/>
    </i>
    <i t="default">
      <x v="374"/>
    </i>
    <i>
      <x v="375"/>
      <x/>
    </i>
    <i t="default">
      <x v="375"/>
    </i>
    <i>
      <x v="376"/>
      <x v="5"/>
    </i>
    <i t="default">
      <x v="376"/>
    </i>
    <i>
      <x v="377"/>
      <x v="2"/>
    </i>
    <i t="default">
      <x v="377"/>
    </i>
    <i>
      <x v="378"/>
      <x v="2"/>
    </i>
    <i t="default">
      <x v="378"/>
    </i>
    <i>
      <x v="379"/>
      <x v="2"/>
    </i>
    <i t="default">
      <x v="379"/>
    </i>
    <i>
      <x v="380"/>
      <x v="2"/>
    </i>
    <i t="default">
      <x v="380"/>
    </i>
    <i>
      <x v="381"/>
      <x v="2"/>
    </i>
    <i t="default">
      <x v="381"/>
    </i>
    <i>
      <x v="382"/>
      <x v="7"/>
    </i>
    <i t="default">
      <x v="382"/>
    </i>
    <i>
      <x v="383"/>
      <x/>
    </i>
    <i t="default">
      <x v="383"/>
    </i>
    <i>
      <x v="384"/>
      <x v="2"/>
    </i>
    <i t="default">
      <x v="384"/>
    </i>
    <i>
      <x v="385"/>
      <x v="2"/>
    </i>
    <i t="default">
      <x v="385"/>
    </i>
    <i>
      <x v="386"/>
      <x/>
    </i>
    <i t="default">
      <x v="386"/>
    </i>
    <i>
      <x v="387"/>
      <x/>
    </i>
    <i t="default">
      <x v="387"/>
    </i>
    <i>
      <x v="388"/>
      <x/>
    </i>
    <i t="default">
      <x v="388"/>
    </i>
    <i>
      <x v="389"/>
      <x/>
    </i>
    <i t="default">
      <x v="389"/>
    </i>
    <i>
      <x v="390"/>
      <x/>
    </i>
    <i t="default">
      <x v="390"/>
    </i>
    <i>
      <x v="391"/>
      <x/>
    </i>
    <i t="default">
      <x v="391"/>
    </i>
    <i>
      <x v="392"/>
      <x/>
    </i>
    <i t="default">
      <x v="392"/>
    </i>
    <i>
      <x v="393"/>
      <x v="8"/>
    </i>
    <i t="default">
      <x v="393"/>
    </i>
    <i>
      <x v="394"/>
      <x v="7"/>
    </i>
    <i t="default">
      <x v="394"/>
    </i>
    <i>
      <x v="395"/>
      <x/>
    </i>
    <i t="default">
      <x v="395"/>
    </i>
    <i>
      <x v="396"/>
      <x/>
    </i>
    <i t="default">
      <x v="396"/>
    </i>
    <i>
      <x v="397"/>
      <x v="2"/>
    </i>
    <i t="default">
      <x v="397"/>
    </i>
    <i>
      <x v="398"/>
      <x v="6"/>
    </i>
    <i t="default">
      <x v="398"/>
    </i>
    <i>
      <x v="399"/>
      <x v="6"/>
    </i>
    <i t="default">
      <x v="399"/>
    </i>
    <i>
      <x v="400"/>
      <x v="6"/>
    </i>
    <i t="default">
      <x v="400"/>
    </i>
    <i>
      <x v="401"/>
      <x v="6"/>
    </i>
    <i t="default">
      <x v="401"/>
    </i>
    <i>
      <x v="402"/>
      <x v="6"/>
    </i>
    <i t="default">
      <x v="402"/>
    </i>
    <i>
      <x v="403"/>
      <x v="6"/>
    </i>
    <i t="default">
      <x v="403"/>
    </i>
    <i>
      <x v="404"/>
      <x v="6"/>
    </i>
    <i t="default">
      <x v="404"/>
    </i>
    <i>
      <x v="405"/>
      <x v="6"/>
    </i>
    <i t="default">
      <x v="405"/>
    </i>
    <i>
      <x v="406"/>
      <x v="6"/>
    </i>
    <i t="default">
      <x v="406"/>
    </i>
    <i>
      <x v="407"/>
      <x/>
    </i>
    <i t="default">
      <x v="407"/>
    </i>
    <i>
      <x v="408"/>
      <x v="6"/>
    </i>
    <i t="default">
      <x v="408"/>
    </i>
    <i>
      <x v="409"/>
      <x v="6"/>
    </i>
    <i t="default">
      <x v="409"/>
    </i>
    <i>
      <x v="410"/>
      <x/>
    </i>
    <i t="default">
      <x v="410"/>
    </i>
    <i>
      <x v="411"/>
      <x v="7"/>
    </i>
    <i t="default">
      <x v="411"/>
    </i>
    <i>
      <x v="412"/>
      <x v="7"/>
    </i>
    <i t="default">
      <x v="412"/>
    </i>
    <i>
      <x v="413"/>
      <x v="7"/>
    </i>
    <i t="default">
      <x v="413"/>
    </i>
    <i>
      <x v="414"/>
      <x v="7"/>
    </i>
    <i t="default">
      <x v="414"/>
    </i>
    <i>
      <x v="415"/>
      <x v="7"/>
    </i>
    <i t="default">
      <x v="415"/>
    </i>
    <i>
      <x v="416"/>
      <x/>
    </i>
    <i t="default">
      <x v="416"/>
    </i>
    <i>
      <x v="417"/>
      <x v="7"/>
    </i>
    <i t="default">
      <x v="417"/>
    </i>
    <i>
      <x v="418"/>
      <x v="3"/>
    </i>
    <i t="default">
      <x v="418"/>
    </i>
    <i>
      <x v="419"/>
      <x v="7"/>
    </i>
    <i t="default">
      <x v="419"/>
    </i>
    <i>
      <x v="420"/>
      <x v="7"/>
    </i>
    <i t="default">
      <x v="420"/>
    </i>
    <i>
      <x v="421"/>
      <x v="7"/>
    </i>
    <i t="default">
      <x v="421"/>
    </i>
    <i>
      <x v="422"/>
      <x/>
    </i>
    <i t="default">
      <x v="422"/>
    </i>
    <i>
      <x v="423"/>
      <x/>
    </i>
    <i t="default">
      <x v="423"/>
    </i>
    <i>
      <x v="424"/>
      <x v="5"/>
    </i>
    <i t="default">
      <x v="424"/>
    </i>
    <i>
      <x v="425"/>
      <x/>
    </i>
    <i t="default">
      <x v="425"/>
    </i>
    <i>
      <x v="426"/>
      <x/>
    </i>
    <i t="default">
      <x v="426"/>
    </i>
    <i>
      <x v="427"/>
      <x v="3"/>
    </i>
    <i t="default">
      <x v="427"/>
    </i>
    <i>
      <x v="428"/>
      <x/>
    </i>
    <i t="default">
      <x v="428"/>
    </i>
    <i>
      <x v="429"/>
      <x/>
    </i>
    <i t="default">
      <x v="429"/>
    </i>
    <i>
      <x v="430"/>
      <x/>
    </i>
    <i t="default">
      <x v="430"/>
    </i>
    <i>
      <x v="431"/>
      <x/>
    </i>
    <i t="default">
      <x v="431"/>
    </i>
    <i>
      <x v="432"/>
      <x/>
    </i>
    <i t="default">
      <x v="432"/>
    </i>
    <i>
      <x v="433"/>
      <x v="1"/>
    </i>
    <i t="default">
      <x v="433"/>
    </i>
    <i>
      <x v="434"/>
      <x v="6"/>
    </i>
    <i t="default">
      <x v="434"/>
    </i>
    <i>
      <x v="435"/>
      <x v="6"/>
    </i>
    <i t="default">
      <x v="435"/>
    </i>
    <i>
      <x v="436"/>
      <x v="6"/>
    </i>
    <i t="default">
      <x v="436"/>
    </i>
    <i>
      <x v="437"/>
      <x v="6"/>
    </i>
    <i t="default">
      <x v="437"/>
    </i>
    <i>
      <x v="438"/>
      <x v="6"/>
    </i>
    <i t="default">
      <x v="438"/>
    </i>
    <i>
      <x v="439"/>
      <x/>
    </i>
    <i t="default">
      <x v="439"/>
    </i>
    <i>
      <x v="440"/>
      <x v="6"/>
    </i>
    <i t="default">
      <x v="440"/>
    </i>
    <i>
      <x v="441"/>
      <x v="6"/>
    </i>
    <i t="default">
      <x v="441"/>
    </i>
    <i>
      <x v="442"/>
      <x v="6"/>
    </i>
    <i t="default">
      <x v="442"/>
    </i>
    <i>
      <x v="443"/>
      <x v="7"/>
    </i>
    <i t="default">
      <x v="443"/>
    </i>
    <i>
      <x v="444"/>
      <x v="6"/>
    </i>
    <i t="default">
      <x v="444"/>
    </i>
    <i>
      <x v="445"/>
      <x v="5"/>
    </i>
    <i t="default">
      <x v="445"/>
    </i>
    <i>
      <x v="446"/>
      <x v="3"/>
    </i>
    <i t="default">
      <x v="446"/>
    </i>
    <i>
      <x v="447"/>
      <x v="3"/>
    </i>
    <i t="default">
      <x v="447"/>
    </i>
    <i>
      <x v="448"/>
      <x v="3"/>
    </i>
    <i t="default">
      <x v="448"/>
    </i>
    <i>
      <x v="449"/>
      <x v="3"/>
    </i>
    <i t="default">
      <x v="449"/>
    </i>
    <i>
      <x v="450"/>
      <x v="3"/>
    </i>
    <i t="default">
      <x v="450"/>
    </i>
    <i>
      <x v="451"/>
      <x v="3"/>
    </i>
    <i t="default">
      <x v="451"/>
    </i>
    <i>
      <x v="452"/>
      <x v="3"/>
    </i>
    <i t="default">
      <x v="452"/>
    </i>
    <i>
      <x v="453"/>
      <x v="3"/>
    </i>
    <i t="default">
      <x v="453"/>
    </i>
    <i>
      <x v="454"/>
      <x v="3"/>
    </i>
    <i t="default">
      <x v="454"/>
    </i>
    <i>
      <x v="455"/>
      <x v="9"/>
    </i>
    <i t="default">
      <x v="455"/>
    </i>
    <i>
      <x v="456"/>
      <x v="3"/>
    </i>
    <i t="default">
      <x v="456"/>
    </i>
    <i>
      <x v="457"/>
      <x v="3"/>
    </i>
    <i t="default">
      <x v="457"/>
    </i>
    <i>
      <x v="458"/>
      <x v="3"/>
    </i>
    <i t="default">
      <x v="458"/>
    </i>
    <i>
      <x v="459"/>
      <x v="3"/>
    </i>
    <i t="default">
      <x v="459"/>
    </i>
    <i>
      <x v="460"/>
      <x v="2"/>
    </i>
    <i t="default">
      <x v="460"/>
    </i>
    <i>
      <x v="461"/>
      <x v="5"/>
    </i>
    <i t="default">
      <x v="461"/>
    </i>
    <i>
      <x v="462"/>
      <x v="3"/>
    </i>
    <i t="default">
      <x v="462"/>
    </i>
    <i>
      <x v="463"/>
      <x v="3"/>
    </i>
    <i t="default">
      <x v="463"/>
    </i>
    <i>
      <x v="464"/>
      <x v="3"/>
    </i>
    <i t="default">
      <x v="464"/>
    </i>
    <i>
      <x v="465"/>
      <x v="3"/>
    </i>
    <i t="default">
      <x v="465"/>
    </i>
    <i>
      <x v="466"/>
      <x v="7"/>
    </i>
    <i t="default">
      <x v="466"/>
    </i>
    <i>
      <x v="467"/>
      <x v="5"/>
    </i>
    <i t="default">
      <x v="467"/>
    </i>
    <i>
      <x v="468"/>
      <x v="3"/>
    </i>
    <i t="default">
      <x v="468"/>
    </i>
    <i>
      <x v="469"/>
      <x v="3"/>
    </i>
    <i t="default">
      <x v="469"/>
    </i>
    <i>
      <x v="470"/>
      <x v="3"/>
    </i>
    <i t="default">
      <x v="470"/>
    </i>
    <i>
      <x v="471"/>
      <x v="3"/>
    </i>
    <i t="default">
      <x v="471"/>
    </i>
    <i>
      <x v="472"/>
      <x/>
    </i>
    <i t="default">
      <x v="472"/>
    </i>
    <i>
      <x v="473"/>
      <x v="3"/>
    </i>
    <i t="default">
      <x v="473"/>
    </i>
    <i>
      <x v="474"/>
      <x v="3"/>
    </i>
    <i t="default">
      <x v="474"/>
    </i>
    <i>
      <x v="475"/>
      <x v="3"/>
    </i>
    <i t="default">
      <x v="475"/>
    </i>
    <i>
      <x v="476"/>
      <x v="3"/>
    </i>
    <i t="default">
      <x v="476"/>
    </i>
    <i>
      <x v="477"/>
      <x v="3"/>
    </i>
    <i t="default">
      <x v="477"/>
    </i>
    <i>
      <x v="478"/>
      <x v="3"/>
    </i>
    <i t="default">
      <x v="478"/>
    </i>
    <i>
      <x v="479"/>
      <x v="3"/>
    </i>
    <i t="default">
      <x v="479"/>
    </i>
    <i>
      <x v="480"/>
      <x v="6"/>
    </i>
    <i t="default">
      <x v="480"/>
    </i>
    <i>
      <x v="481"/>
      <x v="3"/>
    </i>
    <i t="default">
      <x v="481"/>
    </i>
    <i>
      <x v="482"/>
      <x v="3"/>
    </i>
    <i t="default">
      <x v="482"/>
    </i>
    <i>
      <x v="483"/>
      <x v="8"/>
    </i>
    <i t="default">
      <x v="483"/>
    </i>
    <i>
      <x v="484"/>
      <x v="3"/>
    </i>
    <i t="default">
      <x v="484"/>
    </i>
    <i>
      <x v="485"/>
      <x v="3"/>
    </i>
    <i t="default">
      <x v="485"/>
    </i>
    <i>
      <x v="486"/>
      <x v="4"/>
    </i>
    <i t="default">
      <x v="486"/>
    </i>
    <i>
      <x v="487"/>
      <x v="3"/>
    </i>
    <i t="default">
      <x v="487"/>
    </i>
    <i>
      <x v="488"/>
      <x v="3"/>
    </i>
    <i t="default">
      <x v="488"/>
    </i>
    <i>
      <x v="489"/>
      <x v="3"/>
    </i>
    <i t="default">
      <x v="489"/>
    </i>
    <i>
      <x v="490"/>
      <x v="3"/>
    </i>
    <i t="default">
      <x v="490"/>
    </i>
    <i>
      <x v="491"/>
      <x v="3"/>
    </i>
    <i t="default">
      <x v="491"/>
    </i>
    <i>
      <x v="492"/>
      <x v="3"/>
    </i>
    <i t="default">
      <x v="492"/>
    </i>
    <i>
      <x v="493"/>
      <x/>
    </i>
    <i t="default">
      <x v="493"/>
    </i>
    <i>
      <x v="494"/>
      <x v="4"/>
    </i>
    <i t="default">
      <x v="494"/>
    </i>
    <i>
      <x v="495"/>
      <x/>
    </i>
    <i t="default">
      <x v="495"/>
    </i>
    <i>
      <x v="496"/>
      <x v="8"/>
    </i>
    <i t="default">
      <x v="496"/>
    </i>
    <i>
      <x v="497"/>
      <x/>
    </i>
    <i t="default">
      <x v="497"/>
    </i>
    <i>
      <x v="498"/>
      <x/>
    </i>
    <i t="default">
      <x v="498"/>
    </i>
    <i>
      <x v="499"/>
      <x/>
    </i>
    <i t="default">
      <x v="499"/>
    </i>
    <i>
      <x v="500"/>
      <x/>
    </i>
    <i t="default">
      <x v="500"/>
    </i>
    <i>
      <x v="501"/>
      <x/>
    </i>
    <i t="default">
      <x v="501"/>
    </i>
    <i>
      <x v="502"/>
      <x v="6"/>
    </i>
    <i t="default">
      <x v="502"/>
    </i>
    <i>
      <x v="503"/>
      <x/>
    </i>
    <i t="default">
      <x v="503"/>
    </i>
    <i>
      <x v="504"/>
      <x v="4"/>
    </i>
    <i t="default">
      <x v="504"/>
    </i>
    <i>
      <x v="505"/>
      <x v="3"/>
    </i>
    <i t="default">
      <x v="505"/>
    </i>
    <i>
      <x v="506"/>
      <x v="3"/>
    </i>
    <i t="default">
      <x v="506"/>
    </i>
    <i>
      <x v="507"/>
      <x v="3"/>
    </i>
    <i t="default">
      <x v="507"/>
    </i>
    <i>
      <x v="508"/>
      <x v="3"/>
    </i>
    <i t="default">
      <x v="508"/>
    </i>
    <i>
      <x v="509"/>
      <x v="2"/>
    </i>
    <i t="default">
      <x v="509"/>
    </i>
    <i>
      <x v="510"/>
      <x v="3"/>
    </i>
    <i t="default">
      <x v="510"/>
    </i>
    <i>
      <x v="511"/>
      <x v="3"/>
    </i>
    <i t="default">
      <x v="511"/>
    </i>
    <i>
      <x v="512"/>
      <x v="3"/>
    </i>
    <i t="default">
      <x v="512"/>
    </i>
    <i>
      <x v="513"/>
      <x v="3"/>
    </i>
    <i t="default">
      <x v="513"/>
    </i>
    <i>
      <x v="514"/>
      <x v="3"/>
    </i>
    <i t="default">
      <x v="514"/>
    </i>
    <i>
      <x v="515"/>
      <x v="3"/>
    </i>
    <i t="default">
      <x v="515"/>
    </i>
    <i>
      <x v="516"/>
      <x v="3"/>
    </i>
    <i t="default">
      <x v="516"/>
    </i>
    <i>
      <x v="517"/>
      <x v="8"/>
    </i>
    <i t="default">
      <x v="517"/>
    </i>
    <i>
      <x v="518"/>
      <x v="1"/>
    </i>
    <i t="default">
      <x v="518"/>
    </i>
    <i>
      <x v="519"/>
      <x v="7"/>
    </i>
    <i t="default">
      <x v="519"/>
    </i>
    <i>
      <x v="520"/>
      <x v="7"/>
    </i>
    <i t="default">
      <x v="520"/>
    </i>
    <i>
      <x v="521"/>
      <x v="6"/>
    </i>
    <i t="default">
      <x v="521"/>
    </i>
    <i>
      <x v="522"/>
      <x v="7"/>
    </i>
    <i t="default">
      <x v="522"/>
    </i>
    <i>
      <x v="523"/>
      <x v="7"/>
    </i>
    <i t="default">
      <x v="523"/>
    </i>
    <i>
      <x v="524"/>
      <x v="7"/>
    </i>
    <i t="default">
      <x v="524"/>
    </i>
    <i>
      <x v="525"/>
      <x v="7"/>
    </i>
    <i t="default">
      <x v="525"/>
    </i>
    <i>
      <x v="526"/>
      <x/>
    </i>
    <i t="default">
      <x v="526"/>
    </i>
    <i>
      <x v="527"/>
      <x v="7"/>
    </i>
    <i t="default">
      <x v="527"/>
    </i>
    <i>
      <x v="528"/>
      <x v="7"/>
    </i>
    <i t="default">
      <x v="528"/>
    </i>
    <i>
      <x v="529"/>
      <x v="9"/>
    </i>
    <i t="default">
      <x v="529"/>
    </i>
    <i>
      <x v="530"/>
      <x v="2"/>
    </i>
    <i t="default">
      <x v="530"/>
    </i>
    <i>
      <x v="531"/>
      <x v="2"/>
    </i>
    <i t="default">
      <x v="531"/>
    </i>
    <i>
      <x v="532"/>
      <x v="2"/>
    </i>
    <i t="default">
      <x v="532"/>
    </i>
    <i>
      <x v="533"/>
      <x v="2"/>
    </i>
    <i t="default">
      <x v="533"/>
    </i>
    <i>
      <x v="534"/>
      <x v="2"/>
    </i>
    <i t="default">
      <x v="534"/>
    </i>
    <i>
      <x v="535"/>
      <x v="2"/>
    </i>
    <i t="default">
      <x v="535"/>
    </i>
    <i>
      <x v="536"/>
      <x v="2"/>
    </i>
    <i t="default">
      <x v="536"/>
    </i>
    <i>
      <x v="537"/>
      <x v="2"/>
    </i>
    <i t="default">
      <x v="537"/>
    </i>
    <i>
      <x v="538"/>
      <x v="2"/>
    </i>
    <i t="default">
      <x v="538"/>
    </i>
    <i>
      <x v="539"/>
      <x v="2"/>
    </i>
    <i t="default">
      <x v="539"/>
    </i>
    <i>
      <x v="540"/>
      <x v="2"/>
    </i>
    <i t="default">
      <x v="540"/>
    </i>
    <i>
      <x v="541"/>
      <x v="6"/>
    </i>
    <i t="default">
      <x v="541"/>
    </i>
    <i>
      <x v="542"/>
      <x v="6"/>
    </i>
    <i t="default">
      <x v="542"/>
    </i>
    <i>
      <x v="543"/>
      <x v="6"/>
    </i>
    <i t="default">
      <x v="543"/>
    </i>
    <i>
      <x v="544"/>
      <x v="6"/>
    </i>
    <i t="default">
      <x v="544"/>
    </i>
    <i>
      <x v="545"/>
      <x v="6"/>
    </i>
    <i t="default">
      <x v="545"/>
    </i>
    <i>
      <x v="546"/>
      <x v="6"/>
    </i>
    <i t="default">
      <x v="546"/>
    </i>
    <i>
      <x v="547"/>
      <x v="6"/>
    </i>
    <i t="default">
      <x v="547"/>
    </i>
    <i>
      <x v="548"/>
      <x v="6"/>
    </i>
    <i t="default">
      <x v="548"/>
    </i>
    <i>
      <x v="549"/>
      <x v="6"/>
    </i>
    <i t="default">
      <x v="549"/>
    </i>
    <i>
      <x v="550"/>
      <x v="6"/>
    </i>
    <i t="default">
      <x v="550"/>
    </i>
    <i>
      <x v="551"/>
      <x v="6"/>
    </i>
    <i t="default">
      <x v="551"/>
    </i>
    <i>
      <x v="552"/>
      <x v="6"/>
    </i>
    <i t="default">
      <x v="552"/>
    </i>
    <i>
      <x v="553"/>
      <x v="4"/>
    </i>
    <i t="default">
      <x v="553"/>
    </i>
    <i>
      <x v="554"/>
      <x v="6"/>
    </i>
    <i t="default">
      <x v="554"/>
    </i>
    <i>
      <x v="555"/>
      <x v="6"/>
    </i>
    <i t="default">
      <x v="555"/>
    </i>
    <i>
      <x v="556"/>
      <x v="6"/>
    </i>
    <i t="default">
      <x v="556"/>
    </i>
    <i>
      <x v="557"/>
      <x v="6"/>
    </i>
    <i t="default">
      <x v="557"/>
    </i>
    <i>
      <x v="558"/>
      <x v="6"/>
    </i>
    <i t="default">
      <x v="558"/>
    </i>
    <i>
      <x v="559"/>
      <x v="1"/>
    </i>
    <i t="default">
      <x v="559"/>
    </i>
    <i>
      <x v="560"/>
      <x v="6"/>
    </i>
    <i t="default">
      <x v="560"/>
    </i>
    <i>
      <x v="561"/>
      <x v="7"/>
    </i>
    <i t="default">
      <x v="561"/>
    </i>
    <i>
      <x v="562"/>
      <x v="6"/>
    </i>
    <i t="default">
      <x v="562"/>
    </i>
    <i>
      <x v="563"/>
      <x v="6"/>
    </i>
    <i t="default">
      <x v="563"/>
    </i>
    <i>
      <x v="564"/>
      <x v="6"/>
    </i>
    <i t="default">
      <x v="564"/>
    </i>
    <i>
      <x v="565"/>
      <x v="2"/>
    </i>
    <i t="default">
      <x v="565"/>
    </i>
    <i>
      <x v="566"/>
      <x v="2"/>
    </i>
    <i t="default">
      <x v="566"/>
    </i>
    <i>
      <x v="567"/>
      <x v="2"/>
    </i>
    <i t="default">
      <x v="567"/>
    </i>
    <i>
      <x v="568"/>
      <x v="2"/>
    </i>
    <i t="default">
      <x v="568"/>
    </i>
    <i>
      <x v="569"/>
      <x v="2"/>
    </i>
    <i t="default">
      <x v="569"/>
    </i>
    <i>
      <x v="570"/>
      <x v="2"/>
    </i>
    <i t="default">
      <x v="570"/>
    </i>
    <i>
      <x v="571"/>
      <x v="2"/>
    </i>
    <i t="default">
      <x v="571"/>
    </i>
    <i>
      <x v="572"/>
      <x v="2"/>
    </i>
    <i t="default">
      <x v="572"/>
    </i>
    <i>
      <x v="573"/>
      <x v="2"/>
    </i>
    <i t="default">
      <x v="573"/>
    </i>
    <i>
      <x v="574"/>
      <x v="2"/>
    </i>
    <i t="default">
      <x v="574"/>
    </i>
    <i>
      <x v="575"/>
      <x v="2"/>
    </i>
    <i t="default">
      <x v="575"/>
    </i>
    <i>
      <x v="576"/>
      <x v="4"/>
    </i>
    <i t="default">
      <x v="576"/>
    </i>
    <i>
      <x v="577"/>
      <x v="2"/>
    </i>
    <i t="default">
      <x v="577"/>
    </i>
    <i>
      <x v="578"/>
      <x v="2"/>
    </i>
    <i t="default">
      <x v="578"/>
    </i>
    <i>
      <x v="579"/>
      <x v="2"/>
    </i>
    <i t="default">
      <x v="579"/>
    </i>
    <i>
      <x v="580"/>
      <x v="2"/>
    </i>
    <i t="default">
      <x v="580"/>
    </i>
    <i>
      <x v="581"/>
      <x v="2"/>
    </i>
    <i t="default">
      <x v="581"/>
    </i>
    <i>
      <x v="582"/>
      <x v="2"/>
    </i>
    <i t="default">
      <x v="582"/>
    </i>
    <i>
      <x v="583"/>
      <x v="2"/>
    </i>
    <i t="default">
      <x v="583"/>
    </i>
    <i>
      <x v="584"/>
      <x v="2"/>
    </i>
    <i t="default">
      <x v="584"/>
    </i>
    <i>
      <x v="585"/>
      <x v="2"/>
    </i>
    <i t="default">
      <x v="585"/>
    </i>
    <i>
      <x v="586"/>
      <x v="6"/>
    </i>
    <i t="default">
      <x v="586"/>
    </i>
    <i>
      <x v="587"/>
      <x/>
    </i>
    <i t="default">
      <x v="587"/>
    </i>
    <i>
      <x v="588"/>
      <x v="4"/>
    </i>
    <i t="default">
      <x v="58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C82DFD-740D-420A-85C5-792CF71B869A}" name="PivotTable1" cacheId="1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
  <location ref="A3:B15" firstHeaderRow="2" firstDataRow="2" firstDataCol="1"/>
  <pivotFields count="14">
    <pivotField compact="0" outline="0" showAll="0"/>
    <pivotField dataField="1" compact="0" outline="0" showAll="0"/>
    <pivotField compact="0" outline="0" showAll="0"/>
    <pivotField compact="0" outline="0" showAll="0"/>
    <pivotField axis="axisRow" compact="0" outline="0" showAll="0" sortType="descending">
      <items count="11">
        <item x="7"/>
        <item x="0"/>
        <item x="3"/>
        <item x="2"/>
        <item x="6"/>
        <item x="9"/>
        <item x="1"/>
        <item x="5"/>
        <item x="8"/>
        <item x="4"/>
        <item t="default"/>
      </items>
    </pivotField>
    <pivotField compact="0" numFmtId="14" outline="0" showAll="0">
      <items count="12">
        <item x="1"/>
        <item x="6"/>
        <item x="4"/>
        <item x="0"/>
        <item x="5"/>
        <item x="2"/>
        <item x="10"/>
        <item x="7"/>
        <item x="9"/>
        <item x="8"/>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11">
    <i>
      <x/>
    </i>
    <i>
      <x v="1"/>
    </i>
    <i>
      <x v="2"/>
    </i>
    <i>
      <x v="3"/>
    </i>
    <i>
      <x v="4"/>
    </i>
    <i>
      <x v="5"/>
    </i>
    <i>
      <x v="6"/>
    </i>
    <i>
      <x v="7"/>
    </i>
    <i>
      <x v="8"/>
    </i>
    <i>
      <x v="9"/>
    </i>
    <i t="grand">
      <x/>
    </i>
  </rowItems>
  <colItems count="1">
    <i/>
  </colItems>
  <dataFields count="1">
    <dataField name="Count of Movie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D74F2E-DAD3-4352-BC2E-A4CB62D83603}" name="PivotTable5" cacheId="1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G16" firstHeaderRow="1" firstDataRow="1" firstDataCol="1"/>
  <pivotFields count="15">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5F2177-9831-4B1D-9E06-43A478CA0DFB}" autoFormatId="16" applyNumberFormats="0" applyBorderFormats="0" applyFontFormats="0" applyPatternFormats="0" applyAlignmentFormats="0" applyWidthHeightFormats="0">
  <queryTableRefresh nextId="15">
    <queryTableFields count="14">
      <queryTableField id="1" name="Movie ID" tableColumnId="1"/>
      <queryTableField id="2" name="Movie Name" tableColumnId="2"/>
      <queryTableField id="3" name="movie category" tableColumnId="3"/>
      <queryTableField id="4" name="Language" tableColumnId="4"/>
      <queryTableField id="5" name="Platform" tableColumnId="5"/>
      <queryTableField id="6" name="Release Year" tableColumnId="6"/>
      <queryTableField id="7" name="Release Month" tableColumnId="7"/>
      <queryTableField id="8" name="Duration (min)" tableColumnId="8"/>
      <queryTableField id="9" name="IMDb Rating" tableColumnId="9"/>
      <queryTableField id="10" name="Votes" tableColumnId="10"/>
      <queryTableField id="11" name="Revenue (Million USD)" tableColumnId="11"/>
      <queryTableField id="12" name="Director" tableColumnId="12"/>
      <queryTableField id="13" name="Lead Actor" tableColumnId="13"/>
      <queryTableField id="14" name="Age Rating" tableColumnId="14"/>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7</v>
    <v>8</v>
    <v>1180</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AA9DAF2-3159-48DC-98EC-8BE29E51CBB3}" sourceName="Platform">
  <pivotTables>
    <pivotTable tabId="4" name="PivotTable1"/>
    <pivotTable tabId="4" name="PivotTable6"/>
    <pivotTable tabId="4" name="PivotTable2"/>
    <pivotTable tabId="4" name="PivotTable3"/>
    <pivotTable tabId="4" name="PivotTable4"/>
  </pivotTables>
  <data>
    <tabular pivotCacheId="2016247274">
      <items count="10">
        <i x="4" s="1"/>
        <i x="8" s="1"/>
        <i x="5" s="1"/>
        <i x="1" s="1"/>
        <i x="9" s="1"/>
        <i x="6" s="1"/>
        <i x="2" s="1"/>
        <i x="3"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966E8B77-E9D4-4753-B998-8F065D79FAA8}" cache="Slicer_Platform" caption="Platfor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964140-6B64-4FA2-B5AA-F191472B2136}" name="Table1_1" displayName="Table1_1" ref="A1:N591" tableType="queryTable" totalsRowCount="1">
  <autoFilter ref="A1:N590" xr:uid="{5B964140-6B64-4FA2-B5AA-F191472B2136}"/>
  <tableColumns count="14">
    <tableColumn id="1" xr3:uid="{7486EE49-09B1-435E-AA7B-4466358F31C4}" uniqueName="1" name="Movie ID" queryTableFieldId="1" dataDxfId="22" totalsRowDxfId="9"/>
    <tableColumn id="2" xr3:uid="{1C023E2C-0466-48BF-9C3A-937C4ADE3CDC}" uniqueName="2" name="Movie Name" queryTableFieldId="2" dataDxfId="21" totalsRowDxfId="8"/>
    <tableColumn id="3" xr3:uid="{CB2B78D5-7B1A-4714-927E-8BE2F77AD137}" uniqueName="3" name="movie category" queryTableFieldId="3" dataDxfId="20" totalsRowDxfId="7"/>
    <tableColumn id="4" xr3:uid="{B46743D2-BD4A-4EBF-8566-A4C09F510456}" uniqueName="4" name="Language" queryTableFieldId="4" dataDxfId="19" totalsRowDxfId="6"/>
    <tableColumn id="5" xr3:uid="{50E3F6F9-D9DC-4B0F-A431-06AC51FCAE60}" uniqueName="5" name="Platform" queryTableFieldId="5" dataDxfId="18" totalsRowDxfId="5"/>
    <tableColumn id="6" xr3:uid="{BFAC583E-97D7-4CA3-BB84-B67485D07102}" uniqueName="6" name="Release Year" queryTableFieldId="6" dataDxfId="17" totalsRowDxfId="4"/>
    <tableColumn id="7" xr3:uid="{9CAC9171-069B-4D79-BABD-82C86E619DB0}" uniqueName="7" name="Release Month" queryTableFieldId="7" dataDxfId="16" totalsRowDxfId="3"/>
    <tableColumn id="8" xr3:uid="{7087961B-EB7C-4105-84DA-5C79E271F57F}" uniqueName="8" name="Duration (min)" queryTableFieldId="8"/>
    <tableColumn id="9" xr3:uid="{A51CAAD6-16AB-43E8-927C-8A4B61BB2C9D}" uniqueName="9" name="IMDb Rating" totalsRowFunction="custom" queryTableFieldId="9">
      <totalsRowFormula>AVERAGE(Table1_1[IMDb Rating])</totalsRowFormula>
    </tableColumn>
    <tableColumn id="10" xr3:uid="{E3944A30-953E-4F3F-8361-E2AAA5A1C397}" uniqueName="10" name="Votes" queryTableFieldId="10"/>
    <tableColumn id="11" xr3:uid="{F7B751B0-E728-4EF2-8534-CF6286B36B0B}" uniqueName="11" name="Revenue (Million USD)" queryTableFieldId="11"/>
    <tableColumn id="12" xr3:uid="{53DC39BD-F29A-462F-A6F4-F29393A0E353}" uniqueName="12" name="Director" queryTableFieldId="12" dataDxfId="15" totalsRowDxfId="2"/>
    <tableColumn id="13" xr3:uid="{88EFFE99-5E23-4E58-A40A-AD2E8E1AFB99}" uniqueName="13" name="Lead Actor" queryTableFieldId="13" dataDxfId="14" totalsRowDxfId="1"/>
    <tableColumn id="14" xr3:uid="{0D372BFA-45AD-426C-8260-E60A483ACD1F}" uniqueName="14" name="Age Rating" queryTableFieldId="14" dataDxfId="13" totalsRowDxfId="0"/>
  </tableColumns>
  <tableStyleInfo name="TableStyleDark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70D3CC-4A55-45DF-9347-F45DBAB35BAA}" name="Table1" displayName="Table1" ref="A1:Q609" totalsRowShown="0" headerRowDxfId="12" headerRowBorderDxfId="11" tableBorderDxfId="10">
  <autoFilter ref="A1:Q609" xr:uid="{00000000-0009-0000-0000-000000000000}"/>
  <tableColumns count="17">
    <tableColumn id="1" xr3:uid="{ACA4B618-4641-4C91-80FC-D46441B5AC3A}" name="Movie ID"/>
    <tableColumn id="2" xr3:uid="{60EB0CE3-F4F9-43CA-B5A2-D61CA4077C1C}" name="Movie Name"/>
    <tableColumn id="3" xr3:uid="{2F05A497-25F5-43BB-BDD0-FE023D59971B}" name="Genre"/>
    <tableColumn id="4" xr3:uid="{11762473-6570-4F20-BD2F-11239361E850}" name="Language"/>
    <tableColumn id="5" xr3:uid="{4EC19013-BE99-464D-ABF1-9E20ABCB0DE5}" name="Platform"/>
    <tableColumn id="6" xr3:uid="{CA5E7939-C550-4A21-B1EC-38637BF26D82}" name="Release Year"/>
    <tableColumn id="7" xr3:uid="{EACDE198-172B-4826-B196-5CA4AD784DBB}" name="Release Month"/>
    <tableColumn id="8" xr3:uid="{4D84BAB8-3B16-4592-AC81-A14E730E5225}" name="Duration (min)"/>
    <tableColumn id="9" xr3:uid="{75F0C238-6790-4326-A7B4-0662C4089B44}" name="IMDb Rating"/>
    <tableColumn id="10" xr3:uid="{F1EA4186-409C-49FC-BCF8-A197B48B9C05}" name="Votes"/>
    <tableColumn id="11" xr3:uid="{27921044-D2E6-427D-9191-F9E187064B1B}" name="Revenue (Million USD)"/>
    <tableColumn id="12" xr3:uid="{A48843AA-3351-4534-97D0-6C6FDF1E50D3}" name="Budget (Million USD)"/>
    <tableColumn id="13" xr3:uid="{6A973405-DDE8-470A-BF4F-5B53E93E13F4}" name="Country"/>
    <tableColumn id="14" xr3:uid="{68F4C2E0-AC60-4F5E-98FF-C372F7D466F8}" name="Director"/>
    <tableColumn id="15" xr3:uid="{D8D59378-0F50-4175-9D4C-989459826297}" name="Lead Actor"/>
    <tableColumn id="16" xr3:uid="{46B3098F-E846-41FD-AF78-17CB102548C0}" name="Content Type"/>
    <tableColumn id="17" xr3:uid="{9CDD63F0-7329-4758-8FB0-A2F2717E2E99}" name="Age 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Year" xr10:uid="{EF3D5450-879F-4815-9AF9-26F64F53B974}" sourceName="Release Year">
  <pivotTables>
    <pivotTable tabId="4" name="PivotTable6"/>
    <pivotTable tabId="4" name="PivotTable1"/>
    <pivotTable tabId="4" name="PivotTable2"/>
    <pivotTable tabId="4" name="PivotTable3"/>
    <pivotTable tabId="4" name="PivotTable4"/>
  </pivotTables>
  <state minimalRefreshVersion="6" lastRefreshVersion="6" pivotCacheId="2016247274" filterType="unknown">
    <bounds startDate="1905-01-01T00:00:00" endDate="19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Year" xr10:uid="{424DE952-FD5B-459E-AAB6-63BAADD2098D}" cache="NativeTimeline_Release_Year" caption="Release Year" level="2" selectionLevel="2" scrollPosition="1905-05-18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F0AF-40BB-4403-BD79-0E1A6C3C2038}">
  <dimension ref="A3:I1773"/>
  <sheetViews>
    <sheetView workbookViewId="0">
      <selection activeCell="D6" sqref="D5:D14"/>
    </sheetView>
  </sheetViews>
  <sheetFormatPr defaultRowHeight="14.4" x14ac:dyDescent="0.3"/>
  <cols>
    <col min="1" max="1" width="19.77734375" bestFit="1" customWidth="1"/>
    <col min="2" max="2" width="5.21875" bestFit="1" customWidth="1"/>
    <col min="3" max="3" width="10" bestFit="1" customWidth="1"/>
    <col min="4" max="4" width="26.77734375" bestFit="1" customWidth="1"/>
    <col min="5" max="5" width="10" bestFit="1" customWidth="1"/>
    <col min="7" max="7" width="27.6640625" bestFit="1" customWidth="1"/>
    <col min="8" max="8" width="12.21875" bestFit="1" customWidth="1"/>
    <col min="9" max="9" width="8" bestFit="1" customWidth="1"/>
  </cols>
  <sheetData>
    <row r="3" spans="1:9" x14ac:dyDescent="0.3">
      <c r="A3" s="4" t="s">
        <v>1351</v>
      </c>
      <c r="D3" s="4" t="s">
        <v>1943</v>
      </c>
    </row>
    <row r="4" spans="1:9" x14ac:dyDescent="0.3">
      <c r="A4" s="4" t="s">
        <v>4</v>
      </c>
      <c r="B4" t="s">
        <v>1352</v>
      </c>
      <c r="D4" s="4" t="s">
        <v>4</v>
      </c>
      <c r="E4" t="s">
        <v>1352</v>
      </c>
    </row>
    <row r="5" spans="1:9" x14ac:dyDescent="0.3">
      <c r="A5" t="s">
        <v>139</v>
      </c>
      <c r="B5" s="5">
        <v>12</v>
      </c>
      <c r="D5" t="s">
        <v>82</v>
      </c>
      <c r="E5" s="5">
        <v>37153.349999999984</v>
      </c>
      <c r="G5" s="4" t="s">
        <v>1</v>
      </c>
      <c r="H5" s="4" t="s">
        <v>16</v>
      </c>
      <c r="I5" s="4" t="s">
        <v>9</v>
      </c>
    </row>
    <row r="6" spans="1:9" x14ac:dyDescent="0.3">
      <c r="A6" t="s">
        <v>21</v>
      </c>
      <c r="B6" s="5">
        <v>22</v>
      </c>
      <c r="D6" t="s">
        <v>192</v>
      </c>
      <c r="E6" s="5">
        <v>12649.04</v>
      </c>
      <c r="G6" t="s">
        <v>924</v>
      </c>
      <c r="H6" t="s">
        <v>27</v>
      </c>
      <c r="I6">
        <v>658724</v>
      </c>
    </row>
    <row r="7" spans="1:9" x14ac:dyDescent="0.3">
      <c r="A7" t="s">
        <v>49</v>
      </c>
      <c r="B7" s="5">
        <v>35</v>
      </c>
      <c r="D7" t="s">
        <v>88</v>
      </c>
      <c r="E7" s="5">
        <v>60851.649999999972</v>
      </c>
      <c r="H7" t="s">
        <v>1944</v>
      </c>
    </row>
    <row r="8" spans="1:9" x14ac:dyDescent="0.3">
      <c r="A8" t="s">
        <v>41</v>
      </c>
      <c r="B8" s="5">
        <v>172</v>
      </c>
      <c r="D8" t="s">
        <v>31</v>
      </c>
      <c r="E8" s="5">
        <v>42253.139999999963</v>
      </c>
      <c r="G8" t="s">
        <v>1354</v>
      </c>
    </row>
    <row r="9" spans="1:9" x14ac:dyDescent="0.3">
      <c r="A9" t="s">
        <v>92</v>
      </c>
      <c r="B9" s="5">
        <v>23</v>
      </c>
      <c r="D9" t="s">
        <v>208</v>
      </c>
      <c r="E9" s="5">
        <v>10146.469999999999</v>
      </c>
      <c r="G9" t="s">
        <v>1138</v>
      </c>
      <c r="H9" t="s">
        <v>36</v>
      </c>
      <c r="I9">
        <v>435850</v>
      </c>
    </row>
    <row r="10" spans="1:9" x14ac:dyDescent="0.3">
      <c r="A10" t="s">
        <v>208</v>
      </c>
      <c r="B10" s="5">
        <v>24</v>
      </c>
      <c r="D10" t="s">
        <v>92</v>
      </c>
      <c r="E10" s="5">
        <v>14993.86</v>
      </c>
      <c r="H10" t="s">
        <v>1945</v>
      </c>
    </row>
    <row r="11" spans="1:9" x14ac:dyDescent="0.3">
      <c r="A11" t="s">
        <v>31</v>
      </c>
      <c r="B11" s="5">
        <v>86</v>
      </c>
      <c r="D11" t="s">
        <v>41</v>
      </c>
      <c r="E11" s="5">
        <v>96215.48</v>
      </c>
      <c r="G11" t="s">
        <v>1355</v>
      </c>
    </row>
    <row r="12" spans="1:9" x14ac:dyDescent="0.3">
      <c r="A12" t="s">
        <v>88</v>
      </c>
      <c r="B12" s="5">
        <v>114</v>
      </c>
      <c r="D12" t="s">
        <v>49</v>
      </c>
      <c r="E12" s="5">
        <v>17727.379999999997</v>
      </c>
      <c r="G12" t="s">
        <v>674</v>
      </c>
      <c r="H12" t="s">
        <v>152</v>
      </c>
      <c r="I12">
        <v>791862</v>
      </c>
    </row>
    <row r="13" spans="1:9" x14ac:dyDescent="0.3">
      <c r="A13" t="s">
        <v>192</v>
      </c>
      <c r="B13" s="5">
        <v>20</v>
      </c>
      <c r="D13" t="s">
        <v>21</v>
      </c>
      <c r="E13" s="5">
        <v>9609.6</v>
      </c>
      <c r="H13" t="s">
        <v>1946</v>
      </c>
    </row>
    <row r="14" spans="1:9" x14ac:dyDescent="0.3">
      <c r="A14" t="s">
        <v>82</v>
      </c>
      <c r="B14" s="5">
        <v>81</v>
      </c>
      <c r="D14" t="s">
        <v>139</v>
      </c>
      <c r="E14" s="5">
        <v>7215.4900000000016</v>
      </c>
      <c r="G14" t="s">
        <v>1356</v>
      </c>
    </row>
    <row r="15" spans="1:9" x14ac:dyDescent="0.3">
      <c r="A15" t="s">
        <v>1353</v>
      </c>
      <c r="B15" s="5">
        <v>589</v>
      </c>
      <c r="D15" t="s">
        <v>1353</v>
      </c>
      <c r="E15" s="5">
        <v>308815.45999999985</v>
      </c>
      <c r="G15" t="s">
        <v>1312</v>
      </c>
      <c r="H15" t="s">
        <v>123</v>
      </c>
      <c r="I15">
        <v>61518</v>
      </c>
    </row>
    <row r="16" spans="1:9" x14ac:dyDescent="0.3">
      <c r="H16" t="s">
        <v>1947</v>
      </c>
    </row>
    <row r="17" spans="1:9" x14ac:dyDescent="0.3">
      <c r="G17" t="s">
        <v>1357</v>
      </c>
    </row>
    <row r="18" spans="1:9" x14ac:dyDescent="0.3">
      <c r="G18" t="s">
        <v>1124</v>
      </c>
      <c r="H18" t="s">
        <v>68</v>
      </c>
      <c r="I18">
        <v>474812</v>
      </c>
    </row>
    <row r="19" spans="1:9" x14ac:dyDescent="0.3">
      <c r="A19" t="e" vm="1">
        <v>#VALUE!</v>
      </c>
      <c r="H19" t="s">
        <v>1948</v>
      </c>
    </row>
    <row r="20" spans="1:9" x14ac:dyDescent="0.3">
      <c r="G20" t="s">
        <v>1358</v>
      </c>
    </row>
    <row r="21" spans="1:9" x14ac:dyDescent="0.3">
      <c r="D21">
        <f>MAX(B20:B609)</f>
        <v>0</v>
      </c>
      <c r="G21" t="s">
        <v>1180</v>
      </c>
      <c r="H21" t="s">
        <v>27</v>
      </c>
      <c r="I21">
        <v>41894</v>
      </c>
    </row>
    <row r="22" spans="1:9" x14ac:dyDescent="0.3">
      <c r="H22" t="s">
        <v>1944</v>
      </c>
    </row>
    <row r="23" spans="1:9" x14ac:dyDescent="0.3">
      <c r="G23" t="s">
        <v>1359</v>
      </c>
    </row>
    <row r="24" spans="1:9" x14ac:dyDescent="0.3">
      <c r="G24" t="s">
        <v>1040</v>
      </c>
      <c r="H24" t="s">
        <v>27</v>
      </c>
      <c r="I24">
        <v>394082</v>
      </c>
    </row>
    <row r="25" spans="1:9" x14ac:dyDescent="0.3">
      <c r="H25" t="s">
        <v>1944</v>
      </c>
    </row>
    <row r="26" spans="1:9" x14ac:dyDescent="0.3">
      <c r="G26" t="s">
        <v>1360</v>
      </c>
    </row>
    <row r="27" spans="1:9" x14ac:dyDescent="0.3">
      <c r="G27" t="s">
        <v>948</v>
      </c>
      <c r="H27" t="s">
        <v>60</v>
      </c>
      <c r="I27">
        <v>409726</v>
      </c>
    </row>
    <row r="28" spans="1:9" x14ac:dyDescent="0.3">
      <c r="D28" s="4" t="s">
        <v>1943</v>
      </c>
      <c r="H28" t="s">
        <v>1949</v>
      </c>
    </row>
    <row r="29" spans="1:9" x14ac:dyDescent="0.3">
      <c r="D29" s="4" t="s">
        <v>4</v>
      </c>
      <c r="E29" t="s">
        <v>1352</v>
      </c>
      <c r="G29" t="s">
        <v>1361</v>
      </c>
    </row>
    <row r="30" spans="1:9" x14ac:dyDescent="0.3">
      <c r="D30" t="s">
        <v>139</v>
      </c>
      <c r="E30" s="5">
        <v>7215.4900000000016</v>
      </c>
      <c r="G30" t="s">
        <v>660</v>
      </c>
      <c r="H30" t="s">
        <v>54</v>
      </c>
      <c r="I30">
        <v>5302</v>
      </c>
    </row>
    <row r="31" spans="1:9" x14ac:dyDescent="0.3">
      <c r="D31" t="s">
        <v>21</v>
      </c>
      <c r="E31" s="5">
        <v>9609.6</v>
      </c>
      <c r="H31" t="s">
        <v>1950</v>
      </c>
    </row>
    <row r="32" spans="1:9" x14ac:dyDescent="0.3">
      <c r="D32" t="s">
        <v>49</v>
      </c>
      <c r="E32" s="5">
        <v>17727.379999999997</v>
      </c>
      <c r="G32" t="s">
        <v>1362</v>
      </c>
    </row>
    <row r="33" spans="4:9" x14ac:dyDescent="0.3">
      <c r="D33" t="s">
        <v>41</v>
      </c>
      <c r="E33" s="5">
        <v>96215.48</v>
      </c>
      <c r="G33" t="s">
        <v>1186</v>
      </c>
      <c r="H33" t="s">
        <v>68</v>
      </c>
      <c r="I33">
        <v>630032</v>
      </c>
    </row>
    <row r="34" spans="4:9" x14ac:dyDescent="0.3">
      <c r="D34" t="s">
        <v>92</v>
      </c>
      <c r="E34" s="5">
        <v>14993.86</v>
      </c>
      <c r="H34" t="s">
        <v>1948</v>
      </c>
    </row>
    <row r="35" spans="4:9" x14ac:dyDescent="0.3">
      <c r="D35" t="s">
        <v>208</v>
      </c>
      <c r="E35" s="5">
        <v>10146.469999999999</v>
      </c>
      <c r="G35" t="s">
        <v>1363</v>
      </c>
    </row>
    <row r="36" spans="4:9" x14ac:dyDescent="0.3">
      <c r="D36" t="s">
        <v>31</v>
      </c>
      <c r="E36" s="5">
        <v>42253.139999999963</v>
      </c>
      <c r="G36" t="s">
        <v>383</v>
      </c>
      <c r="H36" t="s">
        <v>152</v>
      </c>
      <c r="I36">
        <v>567492</v>
      </c>
    </row>
    <row r="37" spans="4:9" x14ac:dyDescent="0.3">
      <c r="D37" t="s">
        <v>88</v>
      </c>
      <c r="E37" s="5">
        <v>60851.649999999972</v>
      </c>
      <c r="H37" t="s">
        <v>1946</v>
      </c>
    </row>
    <row r="38" spans="4:9" x14ac:dyDescent="0.3">
      <c r="D38" t="s">
        <v>192</v>
      </c>
      <c r="E38" s="5">
        <v>12649.04</v>
      </c>
      <c r="G38" t="s">
        <v>1364</v>
      </c>
    </row>
    <row r="39" spans="4:9" x14ac:dyDescent="0.3">
      <c r="D39" t="s">
        <v>82</v>
      </c>
      <c r="E39" s="5">
        <v>37153.349999999984</v>
      </c>
      <c r="G39" t="s">
        <v>247</v>
      </c>
      <c r="H39" t="s">
        <v>152</v>
      </c>
      <c r="I39">
        <v>877366</v>
      </c>
    </row>
    <row r="40" spans="4:9" x14ac:dyDescent="0.3">
      <c r="D40" t="s">
        <v>1353</v>
      </c>
      <c r="E40" s="5">
        <v>308815.4599999999</v>
      </c>
      <c r="H40" t="s">
        <v>1946</v>
      </c>
    </row>
    <row r="41" spans="4:9" x14ac:dyDescent="0.3">
      <c r="G41" t="s">
        <v>1365</v>
      </c>
    </row>
    <row r="42" spans="4:9" x14ac:dyDescent="0.3">
      <c r="G42" t="s">
        <v>353</v>
      </c>
      <c r="H42" t="s">
        <v>27</v>
      </c>
      <c r="I42">
        <v>139690</v>
      </c>
    </row>
    <row r="43" spans="4:9" x14ac:dyDescent="0.3">
      <c r="H43" t="s">
        <v>1944</v>
      </c>
    </row>
    <row r="44" spans="4:9" x14ac:dyDescent="0.3">
      <c r="G44" t="s">
        <v>1366</v>
      </c>
    </row>
    <row r="45" spans="4:9" x14ac:dyDescent="0.3">
      <c r="G45" t="s">
        <v>1306</v>
      </c>
      <c r="H45" t="s">
        <v>60</v>
      </c>
      <c r="I45">
        <v>92855</v>
      </c>
    </row>
    <row r="46" spans="4:9" x14ac:dyDescent="0.3">
      <c r="H46" t="s">
        <v>1949</v>
      </c>
    </row>
    <row r="47" spans="4:9" x14ac:dyDescent="0.3">
      <c r="G47" t="s">
        <v>1367</v>
      </c>
    </row>
    <row r="48" spans="4:9" x14ac:dyDescent="0.3">
      <c r="G48" t="s">
        <v>255</v>
      </c>
      <c r="H48" t="s">
        <v>36</v>
      </c>
      <c r="I48">
        <v>416773</v>
      </c>
    </row>
    <row r="49" spans="7:9" x14ac:dyDescent="0.3">
      <c r="H49" t="s">
        <v>1945</v>
      </c>
    </row>
    <row r="50" spans="7:9" x14ac:dyDescent="0.3">
      <c r="G50" t="s">
        <v>1368</v>
      </c>
    </row>
    <row r="51" spans="7:9" x14ac:dyDescent="0.3">
      <c r="G51" t="s">
        <v>1202</v>
      </c>
      <c r="H51" t="s">
        <v>123</v>
      </c>
      <c r="I51">
        <v>676801</v>
      </c>
    </row>
    <row r="52" spans="7:9" x14ac:dyDescent="0.3">
      <c r="H52" t="s">
        <v>1947</v>
      </c>
    </row>
    <row r="53" spans="7:9" x14ac:dyDescent="0.3">
      <c r="G53" t="s">
        <v>1369</v>
      </c>
    </row>
    <row r="54" spans="7:9" x14ac:dyDescent="0.3">
      <c r="G54" t="s">
        <v>1016</v>
      </c>
      <c r="H54" t="s">
        <v>152</v>
      </c>
      <c r="I54">
        <v>363344</v>
      </c>
    </row>
    <row r="55" spans="7:9" x14ac:dyDescent="0.3">
      <c r="H55" t="s">
        <v>1946</v>
      </c>
    </row>
    <row r="56" spans="7:9" x14ac:dyDescent="0.3">
      <c r="G56" t="s">
        <v>1370</v>
      </c>
    </row>
    <row r="57" spans="7:9" x14ac:dyDescent="0.3">
      <c r="G57" t="s">
        <v>281</v>
      </c>
      <c r="H57" t="s">
        <v>54</v>
      </c>
      <c r="I57">
        <v>427711</v>
      </c>
    </row>
    <row r="58" spans="7:9" x14ac:dyDescent="0.3">
      <c r="H58" t="s">
        <v>1950</v>
      </c>
    </row>
    <row r="59" spans="7:9" x14ac:dyDescent="0.3">
      <c r="G59" t="s">
        <v>1371</v>
      </c>
    </row>
    <row r="60" spans="7:9" x14ac:dyDescent="0.3">
      <c r="G60" t="s">
        <v>1148</v>
      </c>
      <c r="H60" t="s">
        <v>123</v>
      </c>
      <c r="I60">
        <v>43810</v>
      </c>
    </row>
    <row r="61" spans="7:9" x14ac:dyDescent="0.3">
      <c r="H61" t="s">
        <v>1947</v>
      </c>
    </row>
    <row r="62" spans="7:9" x14ac:dyDescent="0.3">
      <c r="G62" t="s">
        <v>1372</v>
      </c>
    </row>
    <row r="63" spans="7:9" x14ac:dyDescent="0.3">
      <c r="G63" t="s">
        <v>1146</v>
      </c>
      <c r="H63" t="s">
        <v>36</v>
      </c>
      <c r="I63">
        <v>549332</v>
      </c>
    </row>
    <row r="64" spans="7:9" x14ac:dyDescent="0.3">
      <c r="H64" t="s">
        <v>1945</v>
      </c>
    </row>
    <row r="65" spans="7:9" x14ac:dyDescent="0.3">
      <c r="G65" t="s">
        <v>1373</v>
      </c>
    </row>
    <row r="66" spans="7:9" x14ac:dyDescent="0.3">
      <c r="G66" t="s">
        <v>762</v>
      </c>
      <c r="H66" t="s">
        <v>152</v>
      </c>
      <c r="I66">
        <v>749101</v>
      </c>
    </row>
    <row r="67" spans="7:9" x14ac:dyDescent="0.3">
      <c r="H67" t="s">
        <v>1946</v>
      </c>
    </row>
    <row r="68" spans="7:9" x14ac:dyDescent="0.3">
      <c r="G68" t="s">
        <v>1374</v>
      </c>
    </row>
    <row r="69" spans="7:9" x14ac:dyDescent="0.3">
      <c r="G69" t="s">
        <v>672</v>
      </c>
      <c r="H69" t="s">
        <v>60</v>
      </c>
      <c r="I69">
        <v>842163</v>
      </c>
    </row>
    <row r="70" spans="7:9" x14ac:dyDescent="0.3">
      <c r="H70" t="s">
        <v>1949</v>
      </c>
    </row>
    <row r="71" spans="7:9" x14ac:dyDescent="0.3">
      <c r="G71" t="s">
        <v>1375</v>
      </c>
    </row>
    <row r="72" spans="7:9" x14ac:dyDescent="0.3">
      <c r="G72" t="s">
        <v>407</v>
      </c>
      <c r="H72" t="s">
        <v>54</v>
      </c>
      <c r="I72">
        <v>404180</v>
      </c>
    </row>
    <row r="73" spans="7:9" x14ac:dyDescent="0.3">
      <c r="H73" t="s">
        <v>1950</v>
      </c>
    </row>
    <row r="74" spans="7:9" x14ac:dyDescent="0.3">
      <c r="G74" t="s">
        <v>1376</v>
      </c>
    </row>
    <row r="75" spans="7:9" x14ac:dyDescent="0.3">
      <c r="G75" t="s">
        <v>76</v>
      </c>
      <c r="H75" t="s">
        <v>60</v>
      </c>
      <c r="I75">
        <v>754052</v>
      </c>
    </row>
    <row r="76" spans="7:9" x14ac:dyDescent="0.3">
      <c r="H76" t="s">
        <v>1949</v>
      </c>
    </row>
    <row r="77" spans="7:9" x14ac:dyDescent="0.3">
      <c r="G77" t="s">
        <v>1377</v>
      </c>
    </row>
    <row r="78" spans="7:9" x14ac:dyDescent="0.3">
      <c r="G78" t="s">
        <v>265</v>
      </c>
      <c r="H78" t="s">
        <v>36</v>
      </c>
      <c r="I78">
        <v>184368</v>
      </c>
    </row>
    <row r="79" spans="7:9" x14ac:dyDescent="0.3">
      <c r="H79" t="s">
        <v>1945</v>
      </c>
    </row>
    <row r="80" spans="7:9" x14ac:dyDescent="0.3">
      <c r="G80" t="s">
        <v>1378</v>
      </c>
    </row>
    <row r="81" spans="7:9" x14ac:dyDescent="0.3">
      <c r="G81" t="s">
        <v>908</v>
      </c>
      <c r="H81" t="s">
        <v>60</v>
      </c>
      <c r="I81">
        <v>853847</v>
      </c>
    </row>
    <row r="82" spans="7:9" x14ac:dyDescent="0.3">
      <c r="H82" t="s">
        <v>1949</v>
      </c>
    </row>
    <row r="83" spans="7:9" x14ac:dyDescent="0.3">
      <c r="G83" t="s">
        <v>1379</v>
      </c>
    </row>
    <row r="84" spans="7:9" x14ac:dyDescent="0.3">
      <c r="G84" t="s">
        <v>107</v>
      </c>
      <c r="H84" t="s">
        <v>60</v>
      </c>
      <c r="I84">
        <v>562452</v>
      </c>
    </row>
    <row r="85" spans="7:9" x14ac:dyDescent="0.3">
      <c r="H85" t="s">
        <v>1949</v>
      </c>
    </row>
    <row r="86" spans="7:9" x14ac:dyDescent="0.3">
      <c r="G86" t="s">
        <v>1380</v>
      </c>
    </row>
    <row r="87" spans="7:9" x14ac:dyDescent="0.3">
      <c r="G87" t="s">
        <v>47</v>
      </c>
      <c r="H87" t="s">
        <v>54</v>
      </c>
      <c r="I87">
        <v>124852</v>
      </c>
    </row>
    <row r="88" spans="7:9" x14ac:dyDescent="0.3">
      <c r="H88" t="s">
        <v>1950</v>
      </c>
    </row>
    <row r="89" spans="7:9" x14ac:dyDescent="0.3">
      <c r="G89" t="s">
        <v>1381</v>
      </c>
    </row>
    <row r="90" spans="7:9" x14ac:dyDescent="0.3">
      <c r="G90" t="s">
        <v>1174</v>
      </c>
      <c r="H90" t="s">
        <v>54</v>
      </c>
      <c r="I90">
        <v>9402</v>
      </c>
    </row>
    <row r="91" spans="7:9" x14ac:dyDescent="0.3">
      <c r="H91" t="s">
        <v>1950</v>
      </c>
    </row>
    <row r="92" spans="7:9" x14ac:dyDescent="0.3">
      <c r="G92" t="s">
        <v>1382</v>
      </c>
    </row>
    <row r="93" spans="7:9" x14ac:dyDescent="0.3">
      <c r="G93" t="s">
        <v>640</v>
      </c>
      <c r="H93" t="s">
        <v>68</v>
      </c>
      <c r="I93">
        <v>936190</v>
      </c>
    </row>
    <row r="94" spans="7:9" x14ac:dyDescent="0.3">
      <c r="H94" t="s">
        <v>1948</v>
      </c>
    </row>
    <row r="95" spans="7:9" x14ac:dyDescent="0.3">
      <c r="G95" t="s">
        <v>1383</v>
      </c>
    </row>
    <row r="96" spans="7:9" x14ac:dyDescent="0.3">
      <c r="G96" t="s">
        <v>622</v>
      </c>
      <c r="H96" t="s">
        <v>36</v>
      </c>
      <c r="I96">
        <v>439339</v>
      </c>
    </row>
    <row r="97" spans="7:9" x14ac:dyDescent="0.3">
      <c r="H97" t="s">
        <v>1945</v>
      </c>
    </row>
    <row r="98" spans="7:9" x14ac:dyDescent="0.3">
      <c r="G98" t="s">
        <v>1384</v>
      </c>
    </row>
    <row r="99" spans="7:9" x14ac:dyDescent="0.3">
      <c r="G99" t="s">
        <v>838</v>
      </c>
      <c r="H99" t="s">
        <v>54</v>
      </c>
      <c r="I99">
        <v>485752</v>
      </c>
    </row>
    <row r="100" spans="7:9" x14ac:dyDescent="0.3">
      <c r="H100" t="s">
        <v>1950</v>
      </c>
    </row>
    <row r="101" spans="7:9" x14ac:dyDescent="0.3">
      <c r="G101" t="s">
        <v>1385</v>
      </c>
    </row>
    <row r="102" spans="7:9" x14ac:dyDescent="0.3">
      <c r="G102" t="s">
        <v>614</v>
      </c>
      <c r="H102" t="s">
        <v>68</v>
      </c>
      <c r="I102">
        <v>131609</v>
      </c>
    </row>
    <row r="103" spans="7:9" x14ac:dyDescent="0.3">
      <c r="H103" t="s">
        <v>1948</v>
      </c>
    </row>
    <row r="104" spans="7:9" x14ac:dyDescent="0.3">
      <c r="G104" t="s">
        <v>1386</v>
      </c>
    </row>
    <row r="105" spans="7:9" x14ac:dyDescent="0.3">
      <c r="G105" t="s">
        <v>1090</v>
      </c>
      <c r="H105" t="s">
        <v>27</v>
      </c>
      <c r="I105">
        <v>550668</v>
      </c>
    </row>
    <row r="106" spans="7:9" x14ac:dyDescent="0.3">
      <c r="H106" t="s">
        <v>1944</v>
      </c>
    </row>
    <row r="107" spans="7:9" x14ac:dyDescent="0.3">
      <c r="G107" t="s">
        <v>1387</v>
      </c>
    </row>
    <row r="108" spans="7:9" x14ac:dyDescent="0.3">
      <c r="G108" t="s">
        <v>662</v>
      </c>
      <c r="H108" t="s">
        <v>152</v>
      </c>
      <c r="I108">
        <v>452374</v>
      </c>
    </row>
    <row r="109" spans="7:9" x14ac:dyDescent="0.3">
      <c r="H109" t="s">
        <v>1946</v>
      </c>
    </row>
    <row r="110" spans="7:9" x14ac:dyDescent="0.3">
      <c r="G110" t="s">
        <v>1388</v>
      </c>
    </row>
    <row r="111" spans="7:9" x14ac:dyDescent="0.3">
      <c r="G111" t="s">
        <v>914</v>
      </c>
      <c r="H111" t="s">
        <v>123</v>
      </c>
      <c r="I111">
        <v>338702</v>
      </c>
    </row>
    <row r="112" spans="7:9" x14ac:dyDescent="0.3">
      <c r="H112" t="s">
        <v>1947</v>
      </c>
    </row>
    <row r="113" spans="7:9" x14ac:dyDescent="0.3">
      <c r="G113" t="s">
        <v>1389</v>
      </c>
    </row>
    <row r="114" spans="7:9" x14ac:dyDescent="0.3">
      <c r="G114" t="s">
        <v>1010</v>
      </c>
      <c r="H114" t="s">
        <v>54</v>
      </c>
      <c r="I114">
        <v>204910</v>
      </c>
    </row>
    <row r="115" spans="7:9" x14ac:dyDescent="0.3">
      <c r="H115" t="s">
        <v>1950</v>
      </c>
    </row>
    <row r="116" spans="7:9" x14ac:dyDescent="0.3">
      <c r="G116" t="s">
        <v>1390</v>
      </c>
    </row>
    <row r="117" spans="7:9" x14ac:dyDescent="0.3">
      <c r="G117" t="s">
        <v>1222</v>
      </c>
      <c r="H117" t="s">
        <v>54</v>
      </c>
      <c r="I117">
        <v>721868</v>
      </c>
    </row>
    <row r="118" spans="7:9" x14ac:dyDescent="0.3">
      <c r="H118" t="s">
        <v>1950</v>
      </c>
    </row>
    <row r="119" spans="7:9" x14ac:dyDescent="0.3">
      <c r="G119" t="s">
        <v>1391</v>
      </c>
    </row>
    <row r="120" spans="7:9" x14ac:dyDescent="0.3">
      <c r="G120" t="s">
        <v>804</v>
      </c>
      <c r="H120" t="s">
        <v>36</v>
      </c>
      <c r="I120">
        <v>929125</v>
      </c>
    </row>
    <row r="121" spans="7:9" x14ac:dyDescent="0.3">
      <c r="H121" t="s">
        <v>1945</v>
      </c>
    </row>
    <row r="122" spans="7:9" x14ac:dyDescent="0.3">
      <c r="G122" t="s">
        <v>1392</v>
      </c>
    </row>
    <row r="123" spans="7:9" x14ac:dyDescent="0.3">
      <c r="G123" t="s">
        <v>1208</v>
      </c>
      <c r="H123" t="s">
        <v>68</v>
      </c>
      <c r="I123">
        <v>703612</v>
      </c>
    </row>
    <row r="124" spans="7:9" x14ac:dyDescent="0.3">
      <c r="H124" t="s">
        <v>1948</v>
      </c>
    </row>
    <row r="125" spans="7:9" x14ac:dyDescent="0.3">
      <c r="G125" t="s">
        <v>1393</v>
      </c>
    </row>
    <row r="126" spans="7:9" x14ac:dyDescent="0.3">
      <c r="G126" t="s">
        <v>856</v>
      </c>
      <c r="H126" t="s">
        <v>54</v>
      </c>
      <c r="I126">
        <v>209422</v>
      </c>
    </row>
    <row r="127" spans="7:9" x14ac:dyDescent="0.3">
      <c r="H127" t="s">
        <v>1950</v>
      </c>
    </row>
    <row r="128" spans="7:9" x14ac:dyDescent="0.3">
      <c r="G128" t="s">
        <v>1394</v>
      </c>
    </row>
    <row r="129" spans="7:9" x14ac:dyDescent="0.3">
      <c r="G129" t="s">
        <v>854</v>
      </c>
      <c r="H129" t="s">
        <v>152</v>
      </c>
      <c r="I129">
        <v>926219</v>
      </c>
    </row>
    <row r="130" spans="7:9" x14ac:dyDescent="0.3">
      <c r="H130" t="s">
        <v>1946</v>
      </c>
    </row>
    <row r="131" spans="7:9" x14ac:dyDescent="0.3">
      <c r="G131" t="s">
        <v>1395</v>
      </c>
    </row>
    <row r="132" spans="7:9" x14ac:dyDescent="0.3">
      <c r="G132" t="s">
        <v>538</v>
      </c>
      <c r="H132" t="s">
        <v>152</v>
      </c>
      <c r="I132">
        <v>847109</v>
      </c>
    </row>
    <row r="133" spans="7:9" x14ac:dyDescent="0.3">
      <c r="H133" t="s">
        <v>1946</v>
      </c>
    </row>
    <row r="134" spans="7:9" x14ac:dyDescent="0.3">
      <c r="G134" t="s">
        <v>1396</v>
      </c>
    </row>
    <row r="135" spans="7:9" x14ac:dyDescent="0.3">
      <c r="G135" t="s">
        <v>1058</v>
      </c>
      <c r="H135" t="s">
        <v>54</v>
      </c>
      <c r="I135">
        <v>652979</v>
      </c>
    </row>
    <row r="136" spans="7:9" x14ac:dyDescent="0.3">
      <c r="H136" t="s">
        <v>1950</v>
      </c>
    </row>
    <row r="137" spans="7:9" x14ac:dyDescent="0.3">
      <c r="G137" t="s">
        <v>1397</v>
      </c>
    </row>
    <row r="138" spans="7:9" x14ac:dyDescent="0.3">
      <c r="G138" t="s">
        <v>506</v>
      </c>
      <c r="H138" t="s">
        <v>60</v>
      </c>
      <c r="I138">
        <v>725048</v>
      </c>
    </row>
    <row r="139" spans="7:9" x14ac:dyDescent="0.3">
      <c r="H139" t="s">
        <v>1949</v>
      </c>
    </row>
    <row r="140" spans="7:9" x14ac:dyDescent="0.3">
      <c r="G140" t="s">
        <v>1398</v>
      </c>
    </row>
    <row r="141" spans="7:9" x14ac:dyDescent="0.3">
      <c r="G141" t="s">
        <v>848</v>
      </c>
      <c r="H141" t="s">
        <v>152</v>
      </c>
      <c r="I141">
        <v>613254</v>
      </c>
    </row>
    <row r="142" spans="7:9" x14ac:dyDescent="0.3">
      <c r="H142" t="s">
        <v>1946</v>
      </c>
    </row>
    <row r="143" spans="7:9" x14ac:dyDescent="0.3">
      <c r="G143" t="s">
        <v>1399</v>
      </c>
    </row>
    <row r="144" spans="7:9" x14ac:dyDescent="0.3">
      <c r="G144" t="s">
        <v>1142</v>
      </c>
      <c r="H144" t="s">
        <v>27</v>
      </c>
      <c r="I144">
        <v>183510</v>
      </c>
    </row>
    <row r="145" spans="7:9" x14ac:dyDescent="0.3">
      <c r="H145" t="s">
        <v>1944</v>
      </c>
    </row>
    <row r="146" spans="7:9" x14ac:dyDescent="0.3">
      <c r="G146" t="s">
        <v>1400</v>
      </c>
    </row>
    <row r="147" spans="7:9" x14ac:dyDescent="0.3">
      <c r="G147" t="s">
        <v>443</v>
      </c>
      <c r="H147" t="s">
        <v>152</v>
      </c>
      <c r="I147">
        <v>513062</v>
      </c>
    </row>
    <row r="148" spans="7:9" x14ac:dyDescent="0.3">
      <c r="H148" t="s">
        <v>1946</v>
      </c>
    </row>
    <row r="149" spans="7:9" x14ac:dyDescent="0.3">
      <c r="G149" t="s">
        <v>1401</v>
      </c>
    </row>
    <row r="150" spans="7:9" x14ac:dyDescent="0.3">
      <c r="G150" t="s">
        <v>1290</v>
      </c>
      <c r="H150" t="s">
        <v>68</v>
      </c>
      <c r="I150">
        <v>325114</v>
      </c>
    </row>
    <row r="151" spans="7:9" x14ac:dyDescent="0.3">
      <c r="H151" t="s">
        <v>1948</v>
      </c>
    </row>
    <row r="152" spans="7:9" x14ac:dyDescent="0.3">
      <c r="G152" t="s">
        <v>1402</v>
      </c>
    </row>
    <row r="153" spans="7:9" x14ac:dyDescent="0.3">
      <c r="G153" t="s">
        <v>181</v>
      </c>
      <c r="H153" t="s">
        <v>27</v>
      </c>
      <c r="I153">
        <v>324041</v>
      </c>
    </row>
    <row r="154" spans="7:9" x14ac:dyDescent="0.3">
      <c r="H154" t="s">
        <v>1944</v>
      </c>
    </row>
    <row r="155" spans="7:9" x14ac:dyDescent="0.3">
      <c r="G155" t="s">
        <v>1403</v>
      </c>
    </row>
    <row r="156" spans="7:9" x14ac:dyDescent="0.3">
      <c r="G156" t="s">
        <v>305</v>
      </c>
      <c r="H156" t="s">
        <v>27</v>
      </c>
      <c r="I156">
        <v>258524</v>
      </c>
    </row>
    <row r="157" spans="7:9" x14ac:dyDescent="0.3">
      <c r="H157" t="s">
        <v>1944</v>
      </c>
    </row>
    <row r="158" spans="7:9" x14ac:dyDescent="0.3">
      <c r="G158" t="s">
        <v>1404</v>
      </c>
    </row>
    <row r="159" spans="7:9" x14ac:dyDescent="0.3">
      <c r="G159" t="s">
        <v>277</v>
      </c>
      <c r="H159" t="s">
        <v>27</v>
      </c>
      <c r="I159">
        <v>523469</v>
      </c>
    </row>
    <row r="160" spans="7:9" x14ac:dyDescent="0.3">
      <c r="H160" t="s">
        <v>1944</v>
      </c>
    </row>
    <row r="161" spans="7:9" x14ac:dyDescent="0.3">
      <c r="G161" t="s">
        <v>1405</v>
      </c>
    </row>
    <row r="162" spans="7:9" x14ac:dyDescent="0.3">
      <c r="G162" t="s">
        <v>1218</v>
      </c>
      <c r="H162" t="s">
        <v>54</v>
      </c>
      <c r="I162">
        <v>433259</v>
      </c>
    </row>
    <row r="163" spans="7:9" x14ac:dyDescent="0.3">
      <c r="H163" t="s">
        <v>1950</v>
      </c>
    </row>
    <row r="164" spans="7:9" x14ac:dyDescent="0.3">
      <c r="G164" t="s">
        <v>1406</v>
      </c>
    </row>
    <row r="165" spans="7:9" x14ac:dyDescent="0.3">
      <c r="G165" t="s">
        <v>912</v>
      </c>
      <c r="H165" t="s">
        <v>54</v>
      </c>
      <c r="I165">
        <v>915893</v>
      </c>
    </row>
    <row r="166" spans="7:9" x14ac:dyDescent="0.3">
      <c r="H166" t="s">
        <v>1950</v>
      </c>
    </row>
    <row r="167" spans="7:9" x14ac:dyDescent="0.3">
      <c r="G167" t="s">
        <v>1407</v>
      </c>
    </row>
    <row r="168" spans="7:9" x14ac:dyDescent="0.3">
      <c r="G168" t="s">
        <v>147</v>
      </c>
      <c r="H168" t="s">
        <v>60</v>
      </c>
      <c r="I168">
        <v>230874</v>
      </c>
    </row>
    <row r="169" spans="7:9" x14ac:dyDescent="0.3">
      <c r="H169" t="s">
        <v>1949</v>
      </c>
    </row>
    <row r="170" spans="7:9" x14ac:dyDescent="0.3">
      <c r="G170" t="s">
        <v>1408</v>
      </c>
    </row>
    <row r="171" spans="7:9" x14ac:dyDescent="0.3">
      <c r="G171" t="s">
        <v>323</v>
      </c>
      <c r="H171" t="s">
        <v>36</v>
      </c>
      <c r="I171">
        <v>70265</v>
      </c>
    </row>
    <row r="172" spans="7:9" x14ac:dyDescent="0.3">
      <c r="H172" t="s">
        <v>1945</v>
      </c>
    </row>
    <row r="173" spans="7:9" x14ac:dyDescent="0.3">
      <c r="G173" t="s">
        <v>1409</v>
      </c>
    </row>
    <row r="174" spans="7:9" x14ac:dyDescent="0.3">
      <c r="G174" t="s">
        <v>596</v>
      </c>
      <c r="H174" t="s">
        <v>152</v>
      </c>
      <c r="I174">
        <v>120270</v>
      </c>
    </row>
    <row r="175" spans="7:9" x14ac:dyDescent="0.3">
      <c r="H175" t="s">
        <v>1946</v>
      </c>
    </row>
    <row r="176" spans="7:9" x14ac:dyDescent="0.3">
      <c r="G176" t="s">
        <v>1410</v>
      </c>
    </row>
    <row r="177" spans="7:9" x14ac:dyDescent="0.3">
      <c r="G177" t="s">
        <v>984</v>
      </c>
      <c r="H177" t="s">
        <v>54</v>
      </c>
      <c r="I177">
        <v>108477</v>
      </c>
    </row>
    <row r="178" spans="7:9" x14ac:dyDescent="0.3">
      <c r="H178" t="s">
        <v>1950</v>
      </c>
    </row>
    <row r="179" spans="7:9" x14ac:dyDescent="0.3">
      <c r="G179" t="s">
        <v>1411</v>
      </c>
    </row>
    <row r="180" spans="7:9" x14ac:dyDescent="0.3">
      <c r="G180" t="s">
        <v>644</v>
      </c>
      <c r="H180" t="s">
        <v>68</v>
      </c>
      <c r="I180">
        <v>692001</v>
      </c>
    </row>
    <row r="181" spans="7:9" x14ac:dyDescent="0.3">
      <c r="H181" t="s">
        <v>1948</v>
      </c>
    </row>
    <row r="182" spans="7:9" x14ac:dyDescent="0.3">
      <c r="G182" t="s">
        <v>1412</v>
      </c>
    </row>
    <row r="183" spans="7:9" x14ac:dyDescent="0.3">
      <c r="G183" t="s">
        <v>634</v>
      </c>
      <c r="H183" t="s">
        <v>54</v>
      </c>
      <c r="I183">
        <v>320815</v>
      </c>
    </row>
    <row r="184" spans="7:9" x14ac:dyDescent="0.3">
      <c r="H184" t="s">
        <v>1950</v>
      </c>
    </row>
    <row r="185" spans="7:9" x14ac:dyDescent="0.3">
      <c r="G185" t="s">
        <v>1413</v>
      </c>
    </row>
    <row r="186" spans="7:9" x14ac:dyDescent="0.3">
      <c r="G186" t="s">
        <v>329</v>
      </c>
      <c r="H186" t="s">
        <v>36</v>
      </c>
      <c r="I186">
        <v>32557</v>
      </c>
    </row>
    <row r="187" spans="7:9" x14ac:dyDescent="0.3">
      <c r="H187" t="s">
        <v>1945</v>
      </c>
    </row>
    <row r="188" spans="7:9" x14ac:dyDescent="0.3">
      <c r="G188" t="s">
        <v>1414</v>
      </c>
    </row>
    <row r="189" spans="7:9" x14ac:dyDescent="0.3">
      <c r="G189" t="s">
        <v>696</v>
      </c>
      <c r="H189" t="s">
        <v>27</v>
      </c>
      <c r="I189">
        <v>624066</v>
      </c>
    </row>
    <row r="190" spans="7:9" x14ac:dyDescent="0.3">
      <c r="H190" t="s">
        <v>1944</v>
      </c>
    </row>
    <row r="191" spans="7:9" x14ac:dyDescent="0.3">
      <c r="G191" t="s">
        <v>1415</v>
      </c>
    </row>
    <row r="192" spans="7:9" x14ac:dyDescent="0.3">
      <c r="G192" t="s">
        <v>1032</v>
      </c>
      <c r="H192" t="s">
        <v>27</v>
      </c>
      <c r="I192">
        <v>591784</v>
      </c>
    </row>
    <row r="193" spans="7:9" x14ac:dyDescent="0.3">
      <c r="H193" t="s">
        <v>1944</v>
      </c>
    </row>
    <row r="194" spans="7:9" x14ac:dyDescent="0.3">
      <c r="G194" t="s">
        <v>1416</v>
      </c>
    </row>
    <row r="195" spans="7:9" x14ac:dyDescent="0.3">
      <c r="G195" t="s">
        <v>540</v>
      </c>
      <c r="H195" t="s">
        <v>27</v>
      </c>
      <c r="I195">
        <v>664800</v>
      </c>
    </row>
    <row r="196" spans="7:9" x14ac:dyDescent="0.3">
      <c r="H196" t="s">
        <v>1944</v>
      </c>
    </row>
    <row r="197" spans="7:9" x14ac:dyDescent="0.3">
      <c r="G197" t="s">
        <v>1417</v>
      </c>
    </row>
    <row r="198" spans="7:9" x14ac:dyDescent="0.3">
      <c r="G198" t="s">
        <v>122</v>
      </c>
      <c r="H198" t="s">
        <v>123</v>
      </c>
      <c r="I198">
        <v>814394</v>
      </c>
    </row>
    <row r="199" spans="7:9" x14ac:dyDescent="0.3">
      <c r="H199" t="s">
        <v>1947</v>
      </c>
    </row>
    <row r="200" spans="7:9" x14ac:dyDescent="0.3">
      <c r="G200" t="s">
        <v>1418</v>
      </c>
    </row>
    <row r="201" spans="7:9" x14ac:dyDescent="0.3">
      <c r="G201" t="s">
        <v>1074</v>
      </c>
      <c r="H201" t="s">
        <v>36</v>
      </c>
      <c r="I201">
        <v>681921</v>
      </c>
    </row>
    <row r="202" spans="7:9" x14ac:dyDescent="0.3">
      <c r="H202" t="s">
        <v>1945</v>
      </c>
    </row>
    <row r="203" spans="7:9" x14ac:dyDescent="0.3">
      <c r="G203" t="s">
        <v>1419</v>
      </c>
    </row>
    <row r="204" spans="7:9" x14ac:dyDescent="0.3">
      <c r="G204" t="s">
        <v>548</v>
      </c>
      <c r="H204" t="s">
        <v>123</v>
      </c>
      <c r="I204">
        <v>74632</v>
      </c>
    </row>
    <row r="205" spans="7:9" x14ac:dyDescent="0.3">
      <c r="H205" t="s">
        <v>1947</v>
      </c>
    </row>
    <row r="206" spans="7:9" x14ac:dyDescent="0.3">
      <c r="G206" t="s">
        <v>1420</v>
      </c>
    </row>
    <row r="207" spans="7:9" x14ac:dyDescent="0.3">
      <c r="G207" t="s">
        <v>85</v>
      </c>
      <c r="H207" t="s">
        <v>68</v>
      </c>
      <c r="I207">
        <v>174974</v>
      </c>
    </row>
    <row r="208" spans="7:9" x14ac:dyDescent="0.3">
      <c r="H208" t="s">
        <v>1948</v>
      </c>
    </row>
    <row r="209" spans="7:9" x14ac:dyDescent="0.3">
      <c r="G209" t="s">
        <v>1421</v>
      </c>
    </row>
    <row r="210" spans="7:9" x14ac:dyDescent="0.3">
      <c r="G210" t="s">
        <v>1100</v>
      </c>
      <c r="H210" t="s">
        <v>36</v>
      </c>
      <c r="I210">
        <v>727694</v>
      </c>
    </row>
    <row r="211" spans="7:9" x14ac:dyDescent="0.3">
      <c r="H211" t="s">
        <v>1945</v>
      </c>
    </row>
    <row r="212" spans="7:9" x14ac:dyDescent="0.3">
      <c r="G212" t="s">
        <v>1422</v>
      </c>
    </row>
    <row r="213" spans="7:9" x14ac:dyDescent="0.3">
      <c r="G213" t="s">
        <v>752</v>
      </c>
      <c r="H213" t="s">
        <v>152</v>
      </c>
      <c r="I213">
        <v>317669</v>
      </c>
    </row>
    <row r="214" spans="7:9" x14ac:dyDescent="0.3">
      <c r="H214" t="s">
        <v>1946</v>
      </c>
    </row>
    <row r="215" spans="7:9" x14ac:dyDescent="0.3">
      <c r="G215" t="s">
        <v>1423</v>
      </c>
    </row>
    <row r="216" spans="7:9" x14ac:dyDescent="0.3">
      <c r="G216" t="s">
        <v>632</v>
      </c>
      <c r="H216" t="s">
        <v>152</v>
      </c>
      <c r="I216">
        <v>419173</v>
      </c>
    </row>
    <row r="217" spans="7:9" x14ac:dyDescent="0.3">
      <c r="H217" t="s">
        <v>1946</v>
      </c>
    </row>
    <row r="218" spans="7:9" x14ac:dyDescent="0.3">
      <c r="G218" t="s">
        <v>1424</v>
      </c>
    </row>
    <row r="219" spans="7:9" x14ac:dyDescent="0.3">
      <c r="G219" t="s">
        <v>922</v>
      </c>
      <c r="H219" t="s">
        <v>68</v>
      </c>
      <c r="I219">
        <v>46449</v>
      </c>
    </row>
    <row r="220" spans="7:9" x14ac:dyDescent="0.3">
      <c r="H220" t="s">
        <v>1948</v>
      </c>
    </row>
    <row r="221" spans="7:9" x14ac:dyDescent="0.3">
      <c r="G221" t="s">
        <v>1425</v>
      </c>
    </row>
    <row r="222" spans="7:9" x14ac:dyDescent="0.3">
      <c r="G222" t="s">
        <v>1176</v>
      </c>
      <c r="H222" t="s">
        <v>54</v>
      </c>
      <c r="I222">
        <v>328922</v>
      </c>
    </row>
    <row r="223" spans="7:9" x14ac:dyDescent="0.3">
      <c r="H223" t="s">
        <v>1950</v>
      </c>
    </row>
    <row r="224" spans="7:9" x14ac:dyDescent="0.3">
      <c r="G224" t="s">
        <v>1426</v>
      </c>
    </row>
    <row r="225" spans="7:9" x14ac:dyDescent="0.3">
      <c r="G225" t="s">
        <v>183</v>
      </c>
      <c r="H225" t="s">
        <v>152</v>
      </c>
      <c r="I225">
        <v>746452</v>
      </c>
    </row>
    <row r="226" spans="7:9" x14ac:dyDescent="0.3">
      <c r="H226" t="s">
        <v>1946</v>
      </c>
    </row>
    <row r="227" spans="7:9" x14ac:dyDescent="0.3">
      <c r="G227" t="s">
        <v>1427</v>
      </c>
    </row>
    <row r="228" spans="7:9" x14ac:dyDescent="0.3">
      <c r="G228" t="s">
        <v>115</v>
      </c>
      <c r="H228" t="s">
        <v>54</v>
      </c>
      <c r="I228">
        <v>918119</v>
      </c>
    </row>
    <row r="229" spans="7:9" x14ac:dyDescent="0.3">
      <c r="H229" t="s">
        <v>1950</v>
      </c>
    </row>
    <row r="230" spans="7:9" x14ac:dyDescent="0.3">
      <c r="G230" t="s">
        <v>1428</v>
      </c>
    </row>
    <row r="231" spans="7:9" x14ac:dyDescent="0.3">
      <c r="G231" t="s">
        <v>892</v>
      </c>
      <c r="H231" t="s">
        <v>152</v>
      </c>
      <c r="I231">
        <v>456201</v>
      </c>
    </row>
    <row r="232" spans="7:9" x14ac:dyDescent="0.3">
      <c r="H232" t="s">
        <v>1946</v>
      </c>
    </row>
    <row r="233" spans="7:9" x14ac:dyDescent="0.3">
      <c r="G233" t="s">
        <v>1429</v>
      </c>
    </row>
    <row r="234" spans="7:9" x14ac:dyDescent="0.3">
      <c r="G234" t="s">
        <v>251</v>
      </c>
      <c r="H234" t="s">
        <v>36</v>
      </c>
      <c r="I234">
        <v>144685</v>
      </c>
    </row>
    <row r="235" spans="7:9" x14ac:dyDescent="0.3">
      <c r="H235" t="s">
        <v>1945</v>
      </c>
    </row>
    <row r="236" spans="7:9" x14ac:dyDescent="0.3">
      <c r="G236" t="s">
        <v>1430</v>
      </c>
    </row>
    <row r="237" spans="7:9" x14ac:dyDescent="0.3">
      <c r="G237" t="s">
        <v>594</v>
      </c>
      <c r="H237" t="s">
        <v>36</v>
      </c>
      <c r="I237">
        <v>226972</v>
      </c>
    </row>
    <row r="238" spans="7:9" x14ac:dyDescent="0.3">
      <c r="H238" t="s">
        <v>1945</v>
      </c>
    </row>
    <row r="239" spans="7:9" x14ac:dyDescent="0.3">
      <c r="G239" t="s">
        <v>1431</v>
      </c>
    </row>
    <row r="240" spans="7:9" x14ac:dyDescent="0.3">
      <c r="G240" t="s">
        <v>1302</v>
      </c>
      <c r="H240" t="s">
        <v>123</v>
      </c>
      <c r="I240">
        <v>454759</v>
      </c>
    </row>
    <row r="241" spans="7:9" x14ac:dyDescent="0.3">
      <c r="H241" t="s">
        <v>1947</v>
      </c>
    </row>
    <row r="242" spans="7:9" x14ac:dyDescent="0.3">
      <c r="G242" t="s">
        <v>1432</v>
      </c>
    </row>
    <row r="243" spans="7:9" x14ac:dyDescent="0.3">
      <c r="G243" t="s">
        <v>325</v>
      </c>
      <c r="H243" t="s">
        <v>152</v>
      </c>
      <c r="I243">
        <v>434032</v>
      </c>
    </row>
    <row r="244" spans="7:9" x14ac:dyDescent="0.3">
      <c r="H244" t="s">
        <v>1946</v>
      </c>
    </row>
    <row r="245" spans="7:9" x14ac:dyDescent="0.3">
      <c r="G245" t="s">
        <v>1433</v>
      </c>
    </row>
    <row r="246" spans="7:9" x14ac:dyDescent="0.3">
      <c r="G246" t="s">
        <v>198</v>
      </c>
      <c r="H246" t="s">
        <v>152</v>
      </c>
      <c r="I246">
        <v>326645</v>
      </c>
    </row>
    <row r="247" spans="7:9" x14ac:dyDescent="0.3">
      <c r="H247" t="s">
        <v>1946</v>
      </c>
    </row>
    <row r="248" spans="7:9" x14ac:dyDescent="0.3">
      <c r="G248" t="s">
        <v>1434</v>
      </c>
    </row>
    <row r="249" spans="7:9" x14ac:dyDescent="0.3">
      <c r="G249" t="s">
        <v>1096</v>
      </c>
      <c r="H249" t="s">
        <v>68</v>
      </c>
      <c r="I249">
        <v>700805</v>
      </c>
    </row>
    <row r="250" spans="7:9" x14ac:dyDescent="0.3">
      <c r="H250" t="s">
        <v>1948</v>
      </c>
    </row>
    <row r="251" spans="7:9" x14ac:dyDescent="0.3">
      <c r="G251" t="s">
        <v>1435</v>
      </c>
    </row>
    <row r="252" spans="7:9" x14ac:dyDescent="0.3">
      <c r="G252" t="s">
        <v>516</v>
      </c>
      <c r="H252" t="s">
        <v>60</v>
      </c>
      <c r="I252">
        <v>387051</v>
      </c>
    </row>
    <row r="253" spans="7:9" x14ac:dyDescent="0.3">
      <c r="H253" t="s">
        <v>1949</v>
      </c>
    </row>
    <row r="254" spans="7:9" x14ac:dyDescent="0.3">
      <c r="G254" t="s">
        <v>1436</v>
      </c>
    </row>
    <row r="255" spans="7:9" x14ac:dyDescent="0.3">
      <c r="G255" t="s">
        <v>1282</v>
      </c>
      <c r="H255" t="s">
        <v>152</v>
      </c>
      <c r="I255">
        <v>415598</v>
      </c>
    </row>
    <row r="256" spans="7:9" x14ac:dyDescent="0.3">
      <c r="H256" t="s">
        <v>1946</v>
      </c>
    </row>
    <row r="257" spans="7:9" x14ac:dyDescent="0.3">
      <c r="G257" t="s">
        <v>1437</v>
      </c>
    </row>
    <row r="258" spans="7:9" x14ac:dyDescent="0.3">
      <c r="G258" t="s">
        <v>234</v>
      </c>
      <c r="H258" t="s">
        <v>152</v>
      </c>
      <c r="I258">
        <v>937415</v>
      </c>
    </row>
    <row r="259" spans="7:9" x14ac:dyDescent="0.3">
      <c r="H259" t="s">
        <v>1946</v>
      </c>
    </row>
    <row r="260" spans="7:9" x14ac:dyDescent="0.3">
      <c r="G260" t="s">
        <v>1438</v>
      </c>
    </row>
    <row r="261" spans="7:9" x14ac:dyDescent="0.3">
      <c r="G261" t="s">
        <v>940</v>
      </c>
      <c r="H261" t="s">
        <v>123</v>
      </c>
      <c r="I261">
        <v>617766</v>
      </c>
    </row>
    <row r="262" spans="7:9" x14ac:dyDescent="0.3">
      <c r="H262" t="s">
        <v>1947</v>
      </c>
    </row>
    <row r="263" spans="7:9" x14ac:dyDescent="0.3">
      <c r="G263" t="s">
        <v>1439</v>
      </c>
    </row>
    <row r="264" spans="7:9" x14ac:dyDescent="0.3">
      <c r="G264" t="s">
        <v>1082</v>
      </c>
      <c r="H264" t="s">
        <v>152</v>
      </c>
      <c r="I264">
        <v>84753</v>
      </c>
    </row>
    <row r="265" spans="7:9" x14ac:dyDescent="0.3">
      <c r="H265" t="s">
        <v>1946</v>
      </c>
    </row>
    <row r="266" spans="7:9" x14ac:dyDescent="0.3">
      <c r="G266" t="s">
        <v>1440</v>
      </c>
    </row>
    <row r="267" spans="7:9" x14ac:dyDescent="0.3">
      <c r="G267" t="s">
        <v>1248</v>
      </c>
      <c r="H267" t="s">
        <v>152</v>
      </c>
      <c r="I267">
        <v>926381</v>
      </c>
    </row>
    <row r="268" spans="7:9" x14ac:dyDescent="0.3">
      <c r="H268" t="s">
        <v>1946</v>
      </c>
    </row>
    <row r="269" spans="7:9" x14ac:dyDescent="0.3">
      <c r="G269" t="s">
        <v>1441</v>
      </c>
    </row>
    <row r="270" spans="7:9" x14ac:dyDescent="0.3">
      <c r="G270" t="s">
        <v>1210</v>
      </c>
      <c r="H270" t="s">
        <v>152</v>
      </c>
      <c r="I270">
        <v>436120</v>
      </c>
    </row>
    <row r="271" spans="7:9" x14ac:dyDescent="0.3">
      <c r="H271" t="s">
        <v>1946</v>
      </c>
    </row>
    <row r="272" spans="7:9" x14ac:dyDescent="0.3">
      <c r="G272" t="s">
        <v>1442</v>
      </c>
    </row>
    <row r="273" spans="7:9" x14ac:dyDescent="0.3">
      <c r="G273" t="s">
        <v>970</v>
      </c>
      <c r="H273" t="s">
        <v>54</v>
      </c>
      <c r="I273">
        <v>411196</v>
      </c>
    </row>
    <row r="274" spans="7:9" x14ac:dyDescent="0.3">
      <c r="H274" t="s">
        <v>1950</v>
      </c>
    </row>
    <row r="275" spans="7:9" x14ac:dyDescent="0.3">
      <c r="G275" t="s">
        <v>1443</v>
      </c>
    </row>
    <row r="276" spans="7:9" x14ac:dyDescent="0.3">
      <c r="G276" t="s">
        <v>238</v>
      </c>
      <c r="H276" t="s">
        <v>60</v>
      </c>
      <c r="I276">
        <v>117119</v>
      </c>
    </row>
    <row r="277" spans="7:9" x14ac:dyDescent="0.3">
      <c r="H277" t="s">
        <v>1949</v>
      </c>
    </row>
    <row r="278" spans="7:9" x14ac:dyDescent="0.3">
      <c r="G278" t="s">
        <v>1444</v>
      </c>
    </row>
    <row r="279" spans="7:9" x14ac:dyDescent="0.3">
      <c r="G279" t="s">
        <v>1120</v>
      </c>
      <c r="H279" t="s">
        <v>27</v>
      </c>
      <c r="I279">
        <v>43941</v>
      </c>
    </row>
    <row r="280" spans="7:9" x14ac:dyDescent="0.3">
      <c r="H280" t="s">
        <v>1944</v>
      </c>
    </row>
    <row r="281" spans="7:9" x14ac:dyDescent="0.3">
      <c r="G281" t="s">
        <v>1445</v>
      </c>
    </row>
    <row r="282" spans="7:9" x14ac:dyDescent="0.3">
      <c r="G282" t="s">
        <v>606</v>
      </c>
      <c r="H282" t="s">
        <v>27</v>
      </c>
      <c r="I282">
        <v>683335</v>
      </c>
    </row>
    <row r="283" spans="7:9" x14ac:dyDescent="0.3">
      <c r="H283" t="s">
        <v>1944</v>
      </c>
    </row>
    <row r="284" spans="7:9" x14ac:dyDescent="0.3">
      <c r="G284" t="s">
        <v>1446</v>
      </c>
    </row>
    <row r="285" spans="7:9" x14ac:dyDescent="0.3">
      <c r="G285" t="s">
        <v>896</v>
      </c>
      <c r="H285" t="s">
        <v>123</v>
      </c>
      <c r="I285">
        <v>582342</v>
      </c>
    </row>
    <row r="286" spans="7:9" x14ac:dyDescent="0.3">
      <c r="H286" t="s">
        <v>1947</v>
      </c>
    </row>
    <row r="287" spans="7:9" x14ac:dyDescent="0.3">
      <c r="G287" t="s">
        <v>1447</v>
      </c>
    </row>
    <row r="288" spans="7:9" x14ac:dyDescent="0.3">
      <c r="G288" t="s">
        <v>1216</v>
      </c>
      <c r="H288" t="s">
        <v>68</v>
      </c>
      <c r="I288">
        <v>379852</v>
      </c>
    </row>
    <row r="289" spans="7:9" x14ac:dyDescent="0.3">
      <c r="H289" t="s">
        <v>1948</v>
      </c>
    </row>
    <row r="290" spans="7:9" x14ac:dyDescent="0.3">
      <c r="G290" t="s">
        <v>1448</v>
      </c>
    </row>
    <row r="291" spans="7:9" x14ac:dyDescent="0.3">
      <c r="G291" t="s">
        <v>490</v>
      </c>
      <c r="H291" t="s">
        <v>54</v>
      </c>
      <c r="I291">
        <v>90656</v>
      </c>
    </row>
    <row r="292" spans="7:9" x14ac:dyDescent="0.3">
      <c r="H292" t="s">
        <v>1950</v>
      </c>
    </row>
    <row r="293" spans="7:9" x14ac:dyDescent="0.3">
      <c r="G293" t="s">
        <v>1449</v>
      </c>
    </row>
    <row r="294" spans="7:9" x14ac:dyDescent="0.3">
      <c r="G294" t="s">
        <v>690</v>
      </c>
      <c r="H294" t="s">
        <v>123</v>
      </c>
      <c r="I294">
        <v>53897</v>
      </c>
    </row>
    <row r="295" spans="7:9" x14ac:dyDescent="0.3">
      <c r="H295" t="s">
        <v>1947</v>
      </c>
    </row>
    <row r="296" spans="7:9" x14ac:dyDescent="0.3">
      <c r="G296" t="s">
        <v>1450</v>
      </c>
    </row>
    <row r="297" spans="7:9" x14ac:dyDescent="0.3">
      <c r="G297" t="s">
        <v>1258</v>
      </c>
      <c r="H297" t="s">
        <v>60</v>
      </c>
      <c r="I297">
        <v>516330</v>
      </c>
    </row>
    <row r="298" spans="7:9" x14ac:dyDescent="0.3">
      <c r="H298" t="s">
        <v>1949</v>
      </c>
    </row>
    <row r="299" spans="7:9" x14ac:dyDescent="0.3">
      <c r="G299" t="s">
        <v>1451</v>
      </c>
    </row>
    <row r="300" spans="7:9" x14ac:dyDescent="0.3">
      <c r="G300" t="s">
        <v>1000</v>
      </c>
      <c r="H300" t="s">
        <v>68</v>
      </c>
      <c r="I300">
        <v>808169</v>
      </c>
    </row>
    <row r="301" spans="7:9" x14ac:dyDescent="0.3">
      <c r="H301" t="s">
        <v>1948</v>
      </c>
    </row>
    <row r="302" spans="7:9" x14ac:dyDescent="0.3">
      <c r="G302" t="s">
        <v>1452</v>
      </c>
    </row>
    <row r="303" spans="7:9" x14ac:dyDescent="0.3">
      <c r="G303" t="s">
        <v>694</v>
      </c>
      <c r="H303" t="s">
        <v>60</v>
      </c>
      <c r="I303">
        <v>526400</v>
      </c>
    </row>
    <row r="304" spans="7:9" x14ac:dyDescent="0.3">
      <c r="H304" t="s">
        <v>1949</v>
      </c>
    </row>
    <row r="305" spans="7:9" x14ac:dyDescent="0.3">
      <c r="G305" t="s">
        <v>1453</v>
      </c>
    </row>
    <row r="306" spans="7:9" x14ac:dyDescent="0.3">
      <c r="G306" t="s">
        <v>191</v>
      </c>
      <c r="H306" t="s">
        <v>54</v>
      </c>
      <c r="I306">
        <v>484307</v>
      </c>
    </row>
    <row r="307" spans="7:9" x14ac:dyDescent="0.3">
      <c r="H307" t="s">
        <v>1950</v>
      </c>
    </row>
    <row r="308" spans="7:9" x14ac:dyDescent="0.3">
      <c r="G308" t="s">
        <v>1454</v>
      </c>
    </row>
    <row r="309" spans="7:9" x14ac:dyDescent="0.3">
      <c r="G309" t="s">
        <v>439</v>
      </c>
      <c r="H309" t="s">
        <v>152</v>
      </c>
      <c r="I309">
        <v>446240</v>
      </c>
    </row>
    <row r="310" spans="7:9" x14ac:dyDescent="0.3">
      <c r="H310" t="s">
        <v>1946</v>
      </c>
    </row>
    <row r="311" spans="7:9" x14ac:dyDescent="0.3">
      <c r="G311" t="s">
        <v>1455</v>
      </c>
    </row>
    <row r="312" spans="7:9" x14ac:dyDescent="0.3">
      <c r="G312" t="s">
        <v>544</v>
      </c>
      <c r="H312" t="s">
        <v>27</v>
      </c>
      <c r="I312">
        <v>310634</v>
      </c>
    </row>
    <row r="313" spans="7:9" x14ac:dyDescent="0.3">
      <c r="H313" t="s">
        <v>1944</v>
      </c>
    </row>
    <row r="314" spans="7:9" x14ac:dyDescent="0.3">
      <c r="G314" t="s">
        <v>1456</v>
      </c>
    </row>
    <row r="315" spans="7:9" x14ac:dyDescent="0.3">
      <c r="G315" t="s">
        <v>998</v>
      </c>
      <c r="H315" t="s">
        <v>60</v>
      </c>
      <c r="I315">
        <v>826527</v>
      </c>
    </row>
    <row r="316" spans="7:9" x14ac:dyDescent="0.3">
      <c r="H316" t="s">
        <v>1949</v>
      </c>
    </row>
    <row r="317" spans="7:9" x14ac:dyDescent="0.3">
      <c r="G317" t="s">
        <v>1457</v>
      </c>
    </row>
    <row r="318" spans="7:9" x14ac:dyDescent="0.3">
      <c r="G318" t="s">
        <v>62</v>
      </c>
      <c r="H318" t="s">
        <v>68</v>
      </c>
      <c r="I318">
        <v>907888</v>
      </c>
    </row>
    <row r="319" spans="7:9" x14ac:dyDescent="0.3">
      <c r="H319" t="s">
        <v>1948</v>
      </c>
    </row>
    <row r="320" spans="7:9" x14ac:dyDescent="0.3">
      <c r="G320" t="s">
        <v>1458</v>
      </c>
    </row>
    <row r="321" spans="7:9" x14ac:dyDescent="0.3">
      <c r="G321" t="s">
        <v>828</v>
      </c>
      <c r="H321" t="s">
        <v>27</v>
      </c>
      <c r="I321">
        <v>73733</v>
      </c>
    </row>
    <row r="322" spans="7:9" x14ac:dyDescent="0.3">
      <c r="H322" t="s">
        <v>1944</v>
      </c>
    </row>
    <row r="323" spans="7:9" x14ac:dyDescent="0.3">
      <c r="G323" t="s">
        <v>1459</v>
      </c>
    </row>
    <row r="324" spans="7:9" x14ac:dyDescent="0.3">
      <c r="G324" t="s">
        <v>916</v>
      </c>
      <c r="H324" t="s">
        <v>36</v>
      </c>
      <c r="I324">
        <v>927407</v>
      </c>
    </row>
    <row r="325" spans="7:9" x14ac:dyDescent="0.3">
      <c r="H325" t="s">
        <v>1945</v>
      </c>
    </row>
    <row r="326" spans="7:9" x14ac:dyDescent="0.3">
      <c r="G326" t="s">
        <v>1460</v>
      </c>
    </row>
    <row r="327" spans="7:9" x14ac:dyDescent="0.3">
      <c r="G327" t="s">
        <v>1204</v>
      </c>
      <c r="H327" t="s">
        <v>123</v>
      </c>
      <c r="I327">
        <v>398500</v>
      </c>
    </row>
    <row r="328" spans="7:9" x14ac:dyDescent="0.3">
      <c r="H328" t="s">
        <v>1947</v>
      </c>
    </row>
    <row r="329" spans="7:9" x14ac:dyDescent="0.3">
      <c r="G329" t="s">
        <v>1461</v>
      </c>
    </row>
    <row r="330" spans="7:9" x14ac:dyDescent="0.3">
      <c r="G330" t="s">
        <v>862</v>
      </c>
      <c r="H330" t="s">
        <v>27</v>
      </c>
      <c r="I330">
        <v>216225</v>
      </c>
    </row>
    <row r="331" spans="7:9" x14ac:dyDescent="0.3">
      <c r="H331" t="s">
        <v>1944</v>
      </c>
    </row>
    <row r="332" spans="7:9" x14ac:dyDescent="0.3">
      <c r="G332" t="s">
        <v>1462</v>
      </c>
    </row>
    <row r="333" spans="7:9" x14ac:dyDescent="0.3">
      <c r="G333" t="s">
        <v>1294</v>
      </c>
      <c r="H333" t="s">
        <v>54</v>
      </c>
      <c r="I333">
        <v>748821</v>
      </c>
    </row>
    <row r="334" spans="7:9" x14ac:dyDescent="0.3">
      <c r="H334" t="s">
        <v>1950</v>
      </c>
    </row>
    <row r="335" spans="7:9" x14ac:dyDescent="0.3">
      <c r="G335" t="s">
        <v>1463</v>
      </c>
    </row>
    <row r="336" spans="7:9" x14ac:dyDescent="0.3">
      <c r="G336" t="s">
        <v>1198</v>
      </c>
      <c r="H336" t="s">
        <v>152</v>
      </c>
      <c r="I336">
        <v>543842</v>
      </c>
    </row>
    <row r="337" spans="7:9" x14ac:dyDescent="0.3">
      <c r="H337" t="s">
        <v>1946</v>
      </c>
    </row>
    <row r="338" spans="7:9" x14ac:dyDescent="0.3">
      <c r="G338" t="s">
        <v>1464</v>
      </c>
    </row>
    <row r="339" spans="7:9" x14ac:dyDescent="0.3">
      <c r="G339" t="s">
        <v>154</v>
      </c>
      <c r="H339" t="s">
        <v>68</v>
      </c>
      <c r="I339">
        <v>933788</v>
      </c>
    </row>
    <row r="340" spans="7:9" x14ac:dyDescent="0.3">
      <c r="H340" t="s">
        <v>1948</v>
      </c>
    </row>
    <row r="341" spans="7:9" x14ac:dyDescent="0.3">
      <c r="G341" t="s">
        <v>1465</v>
      </c>
    </row>
    <row r="342" spans="7:9" x14ac:dyDescent="0.3">
      <c r="G342" t="s">
        <v>980</v>
      </c>
      <c r="H342" t="s">
        <v>60</v>
      </c>
      <c r="I342">
        <v>806045</v>
      </c>
    </row>
    <row r="343" spans="7:9" x14ac:dyDescent="0.3">
      <c r="H343" t="s">
        <v>1949</v>
      </c>
    </row>
    <row r="344" spans="7:9" x14ac:dyDescent="0.3">
      <c r="G344" t="s">
        <v>1466</v>
      </c>
    </row>
    <row r="345" spans="7:9" x14ac:dyDescent="0.3">
      <c r="G345" t="s">
        <v>526</v>
      </c>
      <c r="H345" t="s">
        <v>27</v>
      </c>
      <c r="I345">
        <v>23907</v>
      </c>
    </row>
    <row r="346" spans="7:9" x14ac:dyDescent="0.3">
      <c r="H346" t="s">
        <v>1944</v>
      </c>
    </row>
    <row r="347" spans="7:9" x14ac:dyDescent="0.3">
      <c r="G347" t="s">
        <v>1467</v>
      </c>
    </row>
    <row r="348" spans="7:9" x14ac:dyDescent="0.3">
      <c r="G348" t="s">
        <v>874</v>
      </c>
      <c r="H348" t="s">
        <v>27</v>
      </c>
      <c r="I348">
        <v>542248</v>
      </c>
    </row>
    <row r="349" spans="7:9" x14ac:dyDescent="0.3">
      <c r="H349" t="s">
        <v>1944</v>
      </c>
    </row>
    <row r="350" spans="7:9" x14ac:dyDescent="0.3">
      <c r="G350" t="s">
        <v>1468</v>
      </c>
    </row>
    <row r="351" spans="7:9" x14ac:dyDescent="0.3">
      <c r="G351" t="s">
        <v>784</v>
      </c>
      <c r="H351" t="s">
        <v>36</v>
      </c>
      <c r="I351">
        <v>776839</v>
      </c>
    </row>
    <row r="352" spans="7:9" x14ac:dyDescent="0.3">
      <c r="H352" t="s">
        <v>1945</v>
      </c>
    </row>
    <row r="353" spans="7:9" x14ac:dyDescent="0.3">
      <c r="G353" t="s">
        <v>1469</v>
      </c>
    </row>
    <row r="354" spans="7:9" x14ac:dyDescent="0.3">
      <c r="G354" t="s">
        <v>337</v>
      </c>
      <c r="H354" t="s">
        <v>152</v>
      </c>
      <c r="I354">
        <v>435892</v>
      </c>
    </row>
    <row r="355" spans="7:9" x14ac:dyDescent="0.3">
      <c r="H355" t="s">
        <v>1946</v>
      </c>
    </row>
    <row r="356" spans="7:9" x14ac:dyDescent="0.3">
      <c r="G356" t="s">
        <v>1470</v>
      </c>
    </row>
    <row r="357" spans="7:9" x14ac:dyDescent="0.3">
      <c r="G357" t="s">
        <v>168</v>
      </c>
      <c r="H357" t="s">
        <v>27</v>
      </c>
      <c r="I357">
        <v>717551</v>
      </c>
    </row>
    <row r="358" spans="7:9" x14ac:dyDescent="0.3">
      <c r="H358" t="s">
        <v>1944</v>
      </c>
    </row>
    <row r="359" spans="7:9" x14ac:dyDescent="0.3">
      <c r="G359" t="s">
        <v>1471</v>
      </c>
    </row>
    <row r="360" spans="7:9" x14ac:dyDescent="0.3">
      <c r="G360" t="s">
        <v>299</v>
      </c>
      <c r="H360" t="s">
        <v>60</v>
      </c>
      <c r="I360">
        <v>755340</v>
      </c>
    </row>
    <row r="361" spans="7:9" x14ac:dyDescent="0.3">
      <c r="H361" t="s">
        <v>1949</v>
      </c>
    </row>
    <row r="362" spans="7:9" x14ac:dyDescent="0.3">
      <c r="G362" t="s">
        <v>1472</v>
      </c>
    </row>
    <row r="363" spans="7:9" x14ac:dyDescent="0.3">
      <c r="G363" t="s">
        <v>1008</v>
      </c>
      <c r="H363" t="s">
        <v>27</v>
      </c>
      <c r="I363">
        <v>468927</v>
      </c>
    </row>
    <row r="364" spans="7:9" x14ac:dyDescent="0.3">
      <c r="H364" t="s">
        <v>1944</v>
      </c>
    </row>
    <row r="365" spans="7:9" x14ac:dyDescent="0.3">
      <c r="G365" t="s">
        <v>1473</v>
      </c>
    </row>
    <row r="366" spans="7:9" x14ac:dyDescent="0.3">
      <c r="G366" t="s">
        <v>393</v>
      </c>
      <c r="H366" t="s">
        <v>68</v>
      </c>
      <c r="I366">
        <v>139194</v>
      </c>
    </row>
    <row r="367" spans="7:9" x14ac:dyDescent="0.3">
      <c r="H367" t="s">
        <v>1948</v>
      </c>
    </row>
    <row r="368" spans="7:9" x14ac:dyDescent="0.3">
      <c r="G368" t="s">
        <v>1474</v>
      </c>
    </row>
    <row r="369" spans="7:9" x14ac:dyDescent="0.3">
      <c r="G369" t="s">
        <v>236</v>
      </c>
      <c r="H369" t="s">
        <v>54</v>
      </c>
      <c r="I369">
        <v>800777</v>
      </c>
    </row>
    <row r="370" spans="7:9" x14ac:dyDescent="0.3">
      <c r="H370" t="s">
        <v>1950</v>
      </c>
    </row>
    <row r="371" spans="7:9" x14ac:dyDescent="0.3">
      <c r="G371" t="s">
        <v>1475</v>
      </c>
    </row>
    <row r="372" spans="7:9" x14ac:dyDescent="0.3">
      <c r="G372" t="s">
        <v>1288</v>
      </c>
      <c r="H372" t="s">
        <v>36</v>
      </c>
      <c r="I372">
        <v>397705</v>
      </c>
    </row>
    <row r="373" spans="7:9" x14ac:dyDescent="0.3">
      <c r="H373" t="s">
        <v>1945</v>
      </c>
    </row>
    <row r="374" spans="7:9" x14ac:dyDescent="0.3">
      <c r="G374" t="s">
        <v>1476</v>
      </c>
    </row>
    <row r="375" spans="7:9" x14ac:dyDescent="0.3">
      <c r="G375" t="s">
        <v>978</v>
      </c>
      <c r="H375" t="s">
        <v>36</v>
      </c>
      <c r="I375">
        <v>227187</v>
      </c>
    </row>
    <row r="376" spans="7:9" x14ac:dyDescent="0.3">
      <c r="H376" t="s">
        <v>1945</v>
      </c>
    </row>
    <row r="377" spans="7:9" x14ac:dyDescent="0.3">
      <c r="G377" t="s">
        <v>1477</v>
      </c>
    </row>
    <row r="378" spans="7:9" x14ac:dyDescent="0.3">
      <c r="G378" t="s">
        <v>668</v>
      </c>
      <c r="H378" t="s">
        <v>60</v>
      </c>
      <c r="I378">
        <v>167544</v>
      </c>
    </row>
    <row r="379" spans="7:9" x14ac:dyDescent="0.3">
      <c r="H379" t="s">
        <v>1949</v>
      </c>
    </row>
    <row r="380" spans="7:9" x14ac:dyDescent="0.3">
      <c r="G380" t="s">
        <v>1478</v>
      </c>
    </row>
    <row r="381" spans="7:9" x14ac:dyDescent="0.3">
      <c r="G381" t="s">
        <v>1108</v>
      </c>
      <c r="H381" t="s">
        <v>54</v>
      </c>
      <c r="I381">
        <v>180879</v>
      </c>
    </row>
    <row r="382" spans="7:9" x14ac:dyDescent="0.3">
      <c r="H382" t="s">
        <v>1950</v>
      </c>
    </row>
    <row r="383" spans="7:9" x14ac:dyDescent="0.3">
      <c r="G383" t="s">
        <v>1479</v>
      </c>
    </row>
    <row r="384" spans="7:9" x14ac:dyDescent="0.3">
      <c r="G384" t="s">
        <v>157</v>
      </c>
      <c r="H384" t="s">
        <v>152</v>
      </c>
      <c r="I384">
        <v>89298</v>
      </c>
    </row>
    <row r="385" spans="7:9" x14ac:dyDescent="0.3">
      <c r="H385" t="s">
        <v>1946</v>
      </c>
    </row>
    <row r="386" spans="7:9" x14ac:dyDescent="0.3">
      <c r="G386" t="s">
        <v>1480</v>
      </c>
    </row>
    <row r="387" spans="7:9" x14ac:dyDescent="0.3">
      <c r="G387" t="s">
        <v>872</v>
      </c>
      <c r="H387" t="s">
        <v>68</v>
      </c>
      <c r="I387">
        <v>302899</v>
      </c>
    </row>
    <row r="388" spans="7:9" x14ac:dyDescent="0.3">
      <c r="H388" t="s">
        <v>1948</v>
      </c>
    </row>
    <row r="389" spans="7:9" x14ac:dyDescent="0.3">
      <c r="G389" t="s">
        <v>1481</v>
      </c>
    </row>
    <row r="390" spans="7:9" x14ac:dyDescent="0.3">
      <c r="G390" t="s">
        <v>381</v>
      </c>
      <c r="H390" t="s">
        <v>27</v>
      </c>
      <c r="I390">
        <v>62575</v>
      </c>
    </row>
    <row r="391" spans="7:9" x14ac:dyDescent="0.3">
      <c r="H391" t="s">
        <v>1944</v>
      </c>
    </row>
    <row r="392" spans="7:9" x14ac:dyDescent="0.3">
      <c r="G392" t="s">
        <v>1482</v>
      </c>
    </row>
    <row r="393" spans="7:9" x14ac:dyDescent="0.3">
      <c r="G393" t="s">
        <v>441</v>
      </c>
      <c r="H393" t="s">
        <v>123</v>
      </c>
      <c r="I393">
        <v>453048</v>
      </c>
    </row>
    <row r="394" spans="7:9" x14ac:dyDescent="0.3">
      <c r="H394" t="s">
        <v>1947</v>
      </c>
    </row>
    <row r="395" spans="7:9" x14ac:dyDescent="0.3">
      <c r="G395" t="s">
        <v>1483</v>
      </c>
    </row>
    <row r="396" spans="7:9" x14ac:dyDescent="0.3">
      <c r="G396" t="s">
        <v>840</v>
      </c>
      <c r="H396" t="s">
        <v>27</v>
      </c>
      <c r="I396">
        <v>490291</v>
      </c>
    </row>
    <row r="397" spans="7:9" x14ac:dyDescent="0.3">
      <c r="H397" t="s">
        <v>1944</v>
      </c>
    </row>
    <row r="398" spans="7:9" x14ac:dyDescent="0.3">
      <c r="G398" t="s">
        <v>1484</v>
      </c>
    </row>
    <row r="399" spans="7:9" x14ac:dyDescent="0.3">
      <c r="G399" t="s">
        <v>522</v>
      </c>
      <c r="H399" t="s">
        <v>60</v>
      </c>
      <c r="I399">
        <v>471680</v>
      </c>
    </row>
    <row r="400" spans="7:9" x14ac:dyDescent="0.3">
      <c r="H400" t="s">
        <v>1949</v>
      </c>
    </row>
    <row r="401" spans="7:9" x14ac:dyDescent="0.3">
      <c r="G401" t="s">
        <v>1485</v>
      </c>
    </row>
    <row r="402" spans="7:9" x14ac:dyDescent="0.3">
      <c r="G402" t="s">
        <v>732</v>
      </c>
      <c r="H402" t="s">
        <v>36</v>
      </c>
      <c r="I402">
        <v>826020</v>
      </c>
    </row>
    <row r="403" spans="7:9" x14ac:dyDescent="0.3">
      <c r="H403" t="s">
        <v>1945</v>
      </c>
    </row>
    <row r="404" spans="7:9" x14ac:dyDescent="0.3">
      <c r="G404" t="s">
        <v>1486</v>
      </c>
    </row>
    <row r="405" spans="7:9" x14ac:dyDescent="0.3">
      <c r="G405" t="s">
        <v>357</v>
      </c>
      <c r="H405" t="s">
        <v>123</v>
      </c>
      <c r="I405">
        <v>773410</v>
      </c>
    </row>
    <row r="406" spans="7:9" x14ac:dyDescent="0.3">
      <c r="H406" t="s">
        <v>1947</v>
      </c>
    </row>
    <row r="407" spans="7:9" x14ac:dyDescent="0.3">
      <c r="G407" t="s">
        <v>1487</v>
      </c>
    </row>
    <row r="408" spans="7:9" x14ac:dyDescent="0.3">
      <c r="G408" t="s">
        <v>1104</v>
      </c>
      <c r="H408" t="s">
        <v>54</v>
      </c>
      <c r="I408">
        <v>442796</v>
      </c>
    </row>
    <row r="409" spans="7:9" x14ac:dyDescent="0.3">
      <c r="H409" t="s">
        <v>1950</v>
      </c>
    </row>
    <row r="410" spans="7:9" x14ac:dyDescent="0.3">
      <c r="G410" t="s">
        <v>1488</v>
      </c>
    </row>
    <row r="411" spans="7:9" x14ac:dyDescent="0.3">
      <c r="G411" t="s">
        <v>928</v>
      </c>
      <c r="H411" t="s">
        <v>27</v>
      </c>
      <c r="I411">
        <v>585591</v>
      </c>
    </row>
    <row r="412" spans="7:9" x14ac:dyDescent="0.3">
      <c r="H412" t="s">
        <v>1944</v>
      </c>
    </row>
    <row r="413" spans="7:9" x14ac:dyDescent="0.3">
      <c r="G413" t="s">
        <v>1489</v>
      </c>
    </row>
    <row r="414" spans="7:9" x14ac:dyDescent="0.3">
      <c r="G414" t="s">
        <v>902</v>
      </c>
      <c r="H414" t="s">
        <v>152</v>
      </c>
      <c r="I414">
        <v>201081</v>
      </c>
    </row>
    <row r="415" spans="7:9" x14ac:dyDescent="0.3">
      <c r="H415" t="s">
        <v>1946</v>
      </c>
    </row>
    <row r="416" spans="7:9" x14ac:dyDescent="0.3">
      <c r="G416" t="s">
        <v>1490</v>
      </c>
    </row>
    <row r="417" spans="7:9" x14ac:dyDescent="0.3">
      <c r="G417" t="s">
        <v>988</v>
      </c>
      <c r="H417" t="s">
        <v>27</v>
      </c>
      <c r="I417">
        <v>761227</v>
      </c>
    </row>
    <row r="418" spans="7:9" x14ac:dyDescent="0.3">
      <c r="H418" t="s">
        <v>1944</v>
      </c>
    </row>
    <row r="419" spans="7:9" x14ac:dyDescent="0.3">
      <c r="G419" t="s">
        <v>1491</v>
      </c>
    </row>
    <row r="420" spans="7:9" x14ac:dyDescent="0.3">
      <c r="G420" t="s">
        <v>271</v>
      </c>
      <c r="H420" t="s">
        <v>123</v>
      </c>
      <c r="I420">
        <v>653744</v>
      </c>
    </row>
    <row r="421" spans="7:9" x14ac:dyDescent="0.3">
      <c r="H421" t="s">
        <v>1947</v>
      </c>
    </row>
    <row r="422" spans="7:9" x14ac:dyDescent="0.3">
      <c r="G422" t="s">
        <v>1492</v>
      </c>
    </row>
    <row r="423" spans="7:9" x14ac:dyDescent="0.3">
      <c r="G423" t="s">
        <v>722</v>
      </c>
      <c r="H423" t="s">
        <v>152</v>
      </c>
      <c r="I423">
        <v>479164</v>
      </c>
    </row>
    <row r="424" spans="7:9" x14ac:dyDescent="0.3">
      <c r="H424" t="s">
        <v>1946</v>
      </c>
    </row>
    <row r="425" spans="7:9" x14ac:dyDescent="0.3">
      <c r="G425" t="s">
        <v>1493</v>
      </c>
    </row>
    <row r="426" spans="7:9" x14ac:dyDescent="0.3">
      <c r="G426" t="s">
        <v>952</v>
      </c>
      <c r="H426" t="s">
        <v>68</v>
      </c>
      <c r="I426">
        <v>53835</v>
      </c>
    </row>
    <row r="427" spans="7:9" x14ac:dyDescent="0.3">
      <c r="H427" t="s">
        <v>1948</v>
      </c>
    </row>
    <row r="428" spans="7:9" x14ac:dyDescent="0.3">
      <c r="G428" t="s">
        <v>1494</v>
      </c>
    </row>
    <row r="429" spans="7:9" x14ac:dyDescent="0.3">
      <c r="G429" t="s">
        <v>343</v>
      </c>
      <c r="H429" t="s">
        <v>152</v>
      </c>
      <c r="I429">
        <v>949591</v>
      </c>
    </row>
    <row r="430" spans="7:9" x14ac:dyDescent="0.3">
      <c r="H430" t="s">
        <v>1946</v>
      </c>
    </row>
    <row r="431" spans="7:9" x14ac:dyDescent="0.3">
      <c r="G431" t="s">
        <v>1495</v>
      </c>
    </row>
    <row r="432" spans="7:9" x14ac:dyDescent="0.3">
      <c r="G432" t="s">
        <v>1252</v>
      </c>
      <c r="H432" t="s">
        <v>36</v>
      </c>
      <c r="I432">
        <v>559824</v>
      </c>
    </row>
    <row r="433" spans="7:9" x14ac:dyDescent="0.3">
      <c r="H433" t="s">
        <v>1945</v>
      </c>
    </row>
    <row r="434" spans="7:9" x14ac:dyDescent="0.3">
      <c r="G434" t="s">
        <v>1496</v>
      </c>
    </row>
    <row r="435" spans="7:9" x14ac:dyDescent="0.3">
      <c r="G435" t="s">
        <v>375</v>
      </c>
      <c r="H435" t="s">
        <v>123</v>
      </c>
      <c r="I435">
        <v>439355</v>
      </c>
    </row>
    <row r="436" spans="7:9" x14ac:dyDescent="0.3">
      <c r="H436" t="s">
        <v>1947</v>
      </c>
    </row>
    <row r="437" spans="7:9" x14ac:dyDescent="0.3">
      <c r="G437" t="s">
        <v>1497</v>
      </c>
    </row>
    <row r="438" spans="7:9" x14ac:dyDescent="0.3">
      <c r="G438" t="s">
        <v>1114</v>
      </c>
      <c r="H438" t="s">
        <v>152</v>
      </c>
      <c r="I438">
        <v>673845</v>
      </c>
    </row>
    <row r="439" spans="7:9" x14ac:dyDescent="0.3">
      <c r="H439" t="s">
        <v>1946</v>
      </c>
    </row>
    <row r="440" spans="7:9" x14ac:dyDescent="0.3">
      <c r="G440" t="s">
        <v>1498</v>
      </c>
    </row>
    <row r="441" spans="7:9" x14ac:dyDescent="0.3">
      <c r="G441" t="s">
        <v>1026</v>
      </c>
      <c r="H441" t="s">
        <v>36</v>
      </c>
      <c r="I441">
        <v>367175</v>
      </c>
    </row>
    <row r="442" spans="7:9" x14ac:dyDescent="0.3">
      <c r="H442" t="s">
        <v>1945</v>
      </c>
    </row>
    <row r="443" spans="7:9" x14ac:dyDescent="0.3">
      <c r="G443" t="s">
        <v>1499</v>
      </c>
    </row>
    <row r="444" spans="7:9" x14ac:dyDescent="0.3">
      <c r="G444" t="s">
        <v>1110</v>
      </c>
      <c r="H444" t="s">
        <v>68</v>
      </c>
      <c r="I444">
        <v>549687</v>
      </c>
    </row>
    <row r="445" spans="7:9" x14ac:dyDescent="0.3">
      <c r="H445" t="s">
        <v>1948</v>
      </c>
    </row>
    <row r="446" spans="7:9" x14ac:dyDescent="0.3">
      <c r="G446" t="s">
        <v>1500</v>
      </c>
    </row>
    <row r="447" spans="7:9" x14ac:dyDescent="0.3">
      <c r="G447" t="s">
        <v>636</v>
      </c>
      <c r="H447" t="s">
        <v>60</v>
      </c>
      <c r="I447">
        <v>68879</v>
      </c>
    </row>
    <row r="448" spans="7:9" x14ac:dyDescent="0.3">
      <c r="H448" t="s">
        <v>1949</v>
      </c>
    </row>
    <row r="449" spans="7:9" x14ac:dyDescent="0.3">
      <c r="G449" t="s">
        <v>1501</v>
      </c>
    </row>
    <row r="450" spans="7:9" x14ac:dyDescent="0.3">
      <c r="G450" t="s">
        <v>748</v>
      </c>
      <c r="H450" t="s">
        <v>60</v>
      </c>
      <c r="I450">
        <v>202024</v>
      </c>
    </row>
    <row r="451" spans="7:9" x14ac:dyDescent="0.3">
      <c r="H451" t="s">
        <v>1949</v>
      </c>
    </row>
    <row r="452" spans="7:9" x14ac:dyDescent="0.3">
      <c r="G452" t="s">
        <v>1502</v>
      </c>
    </row>
    <row r="453" spans="7:9" x14ac:dyDescent="0.3">
      <c r="G453" t="s">
        <v>962</v>
      </c>
      <c r="H453" t="s">
        <v>60</v>
      </c>
      <c r="I453">
        <v>22193</v>
      </c>
    </row>
    <row r="454" spans="7:9" x14ac:dyDescent="0.3">
      <c r="H454" t="s">
        <v>1949</v>
      </c>
    </row>
    <row r="455" spans="7:9" x14ac:dyDescent="0.3">
      <c r="G455" t="s">
        <v>1503</v>
      </c>
    </row>
    <row r="456" spans="7:9" x14ac:dyDescent="0.3">
      <c r="G456" t="s">
        <v>1084</v>
      </c>
      <c r="H456" t="s">
        <v>68</v>
      </c>
      <c r="I456">
        <v>942489</v>
      </c>
    </row>
    <row r="457" spans="7:9" x14ac:dyDescent="0.3">
      <c r="H457" t="s">
        <v>1948</v>
      </c>
    </row>
    <row r="458" spans="7:9" x14ac:dyDescent="0.3">
      <c r="G458" t="s">
        <v>1504</v>
      </c>
    </row>
    <row r="459" spans="7:9" x14ac:dyDescent="0.3">
      <c r="G459" t="s">
        <v>624</v>
      </c>
      <c r="H459" t="s">
        <v>36</v>
      </c>
      <c r="I459">
        <v>687940</v>
      </c>
    </row>
    <row r="460" spans="7:9" x14ac:dyDescent="0.3">
      <c r="H460" t="s">
        <v>1945</v>
      </c>
    </row>
    <row r="461" spans="7:9" x14ac:dyDescent="0.3">
      <c r="G461" t="s">
        <v>1505</v>
      </c>
    </row>
    <row r="462" spans="7:9" x14ac:dyDescent="0.3">
      <c r="G462" t="s">
        <v>536</v>
      </c>
      <c r="H462" t="s">
        <v>36</v>
      </c>
      <c r="I462">
        <v>235937</v>
      </c>
    </row>
    <row r="463" spans="7:9" x14ac:dyDescent="0.3">
      <c r="H463" t="s">
        <v>1945</v>
      </c>
    </row>
    <row r="464" spans="7:9" x14ac:dyDescent="0.3">
      <c r="G464" t="s">
        <v>1506</v>
      </c>
    </row>
    <row r="465" spans="7:9" x14ac:dyDescent="0.3">
      <c r="G465" t="s">
        <v>1094</v>
      </c>
      <c r="H465" t="s">
        <v>36</v>
      </c>
      <c r="I465">
        <v>791670</v>
      </c>
    </row>
    <row r="466" spans="7:9" x14ac:dyDescent="0.3">
      <c r="H466" t="s">
        <v>1945</v>
      </c>
    </row>
    <row r="467" spans="7:9" x14ac:dyDescent="0.3">
      <c r="G467" t="s">
        <v>1507</v>
      </c>
    </row>
    <row r="468" spans="7:9" x14ac:dyDescent="0.3">
      <c r="G468" t="s">
        <v>510</v>
      </c>
      <c r="H468" t="s">
        <v>54</v>
      </c>
      <c r="I468">
        <v>685407</v>
      </c>
    </row>
    <row r="469" spans="7:9" x14ac:dyDescent="0.3">
      <c r="H469" t="s">
        <v>1950</v>
      </c>
    </row>
    <row r="470" spans="7:9" x14ac:dyDescent="0.3">
      <c r="G470" t="s">
        <v>1508</v>
      </c>
    </row>
    <row r="471" spans="7:9" x14ac:dyDescent="0.3">
      <c r="G471" t="s">
        <v>628</v>
      </c>
      <c r="H471" t="s">
        <v>36</v>
      </c>
      <c r="I471">
        <v>472378</v>
      </c>
    </row>
    <row r="472" spans="7:9" x14ac:dyDescent="0.3">
      <c r="H472" t="s">
        <v>1945</v>
      </c>
    </row>
    <row r="473" spans="7:9" x14ac:dyDescent="0.3">
      <c r="G473" t="s">
        <v>1509</v>
      </c>
    </row>
    <row r="474" spans="7:9" x14ac:dyDescent="0.3">
      <c r="G474" t="s">
        <v>824</v>
      </c>
      <c r="H474" t="s">
        <v>36</v>
      </c>
      <c r="I474">
        <v>545732</v>
      </c>
    </row>
    <row r="475" spans="7:9" x14ac:dyDescent="0.3">
      <c r="H475" t="s">
        <v>1945</v>
      </c>
    </row>
    <row r="476" spans="7:9" x14ac:dyDescent="0.3">
      <c r="G476" t="s">
        <v>1510</v>
      </c>
    </row>
    <row r="477" spans="7:9" x14ac:dyDescent="0.3">
      <c r="G477" t="s">
        <v>1266</v>
      </c>
      <c r="H477" t="s">
        <v>68</v>
      </c>
      <c r="I477">
        <v>40526</v>
      </c>
    </row>
    <row r="478" spans="7:9" x14ac:dyDescent="0.3">
      <c r="H478" t="s">
        <v>1948</v>
      </c>
    </row>
    <row r="479" spans="7:9" x14ac:dyDescent="0.3">
      <c r="G479" t="s">
        <v>1511</v>
      </c>
    </row>
    <row r="480" spans="7:9" x14ac:dyDescent="0.3">
      <c r="G480" t="s">
        <v>958</v>
      </c>
      <c r="H480" t="s">
        <v>36</v>
      </c>
      <c r="I480">
        <v>648536</v>
      </c>
    </row>
    <row r="481" spans="7:9" x14ac:dyDescent="0.3">
      <c r="H481" t="s">
        <v>1945</v>
      </c>
    </row>
    <row r="482" spans="7:9" x14ac:dyDescent="0.3">
      <c r="G482" t="s">
        <v>1512</v>
      </c>
    </row>
    <row r="483" spans="7:9" x14ac:dyDescent="0.3">
      <c r="G483" t="s">
        <v>118</v>
      </c>
      <c r="H483" t="s">
        <v>54</v>
      </c>
      <c r="I483">
        <v>350272</v>
      </c>
    </row>
    <row r="484" spans="7:9" x14ac:dyDescent="0.3">
      <c r="H484" t="s">
        <v>1950</v>
      </c>
    </row>
    <row r="485" spans="7:9" x14ac:dyDescent="0.3">
      <c r="G485" t="s">
        <v>1513</v>
      </c>
    </row>
    <row r="486" spans="7:9" x14ac:dyDescent="0.3">
      <c r="G486" t="s">
        <v>802</v>
      </c>
      <c r="H486" t="s">
        <v>54</v>
      </c>
      <c r="I486">
        <v>639837</v>
      </c>
    </row>
    <row r="487" spans="7:9" x14ac:dyDescent="0.3">
      <c r="H487" t="s">
        <v>1950</v>
      </c>
    </row>
    <row r="488" spans="7:9" x14ac:dyDescent="0.3">
      <c r="G488" t="s">
        <v>1514</v>
      </c>
    </row>
    <row r="489" spans="7:9" x14ac:dyDescent="0.3">
      <c r="G489" t="s">
        <v>1118</v>
      </c>
      <c r="H489" t="s">
        <v>123</v>
      </c>
      <c r="I489">
        <v>542100</v>
      </c>
    </row>
    <row r="490" spans="7:9" x14ac:dyDescent="0.3">
      <c r="H490" t="s">
        <v>1947</v>
      </c>
    </row>
    <row r="491" spans="7:9" x14ac:dyDescent="0.3">
      <c r="G491" t="s">
        <v>1515</v>
      </c>
    </row>
    <row r="492" spans="7:9" x14ac:dyDescent="0.3">
      <c r="G492" t="s">
        <v>930</v>
      </c>
      <c r="H492" t="s">
        <v>60</v>
      </c>
      <c r="I492">
        <v>30046</v>
      </c>
    </row>
    <row r="493" spans="7:9" x14ac:dyDescent="0.3">
      <c r="H493" t="s">
        <v>1949</v>
      </c>
    </row>
    <row r="494" spans="7:9" x14ac:dyDescent="0.3">
      <c r="G494" t="s">
        <v>1516</v>
      </c>
    </row>
    <row r="495" spans="7:9" x14ac:dyDescent="0.3">
      <c r="G495" t="s">
        <v>642</v>
      </c>
      <c r="H495" t="s">
        <v>152</v>
      </c>
      <c r="I495">
        <v>474269</v>
      </c>
    </row>
    <row r="496" spans="7:9" x14ac:dyDescent="0.3">
      <c r="H496" t="s">
        <v>1946</v>
      </c>
    </row>
    <row r="497" spans="7:9" x14ac:dyDescent="0.3">
      <c r="G497" t="s">
        <v>1517</v>
      </c>
    </row>
    <row r="498" spans="7:9" x14ac:dyDescent="0.3">
      <c r="G498" t="s">
        <v>369</v>
      </c>
      <c r="H498" t="s">
        <v>60</v>
      </c>
      <c r="I498">
        <v>297805</v>
      </c>
    </row>
    <row r="499" spans="7:9" x14ac:dyDescent="0.3">
      <c r="H499" t="s">
        <v>1949</v>
      </c>
    </row>
    <row r="500" spans="7:9" x14ac:dyDescent="0.3">
      <c r="G500" t="s">
        <v>1518</v>
      </c>
    </row>
    <row r="501" spans="7:9" x14ac:dyDescent="0.3">
      <c r="G501" t="s">
        <v>572</v>
      </c>
      <c r="H501" t="s">
        <v>27</v>
      </c>
      <c r="I501">
        <v>863076</v>
      </c>
    </row>
    <row r="502" spans="7:9" x14ac:dyDescent="0.3">
      <c r="H502" t="s">
        <v>1944</v>
      </c>
    </row>
    <row r="503" spans="7:9" x14ac:dyDescent="0.3">
      <c r="G503" t="s">
        <v>1519</v>
      </c>
    </row>
    <row r="504" spans="7:9" x14ac:dyDescent="0.3">
      <c r="G504" t="s">
        <v>1098</v>
      </c>
      <c r="H504" t="s">
        <v>60</v>
      </c>
      <c r="I504">
        <v>354287</v>
      </c>
    </row>
    <row r="505" spans="7:9" x14ac:dyDescent="0.3">
      <c r="H505" t="s">
        <v>1949</v>
      </c>
    </row>
    <row r="506" spans="7:9" x14ac:dyDescent="0.3">
      <c r="G506" t="s">
        <v>1520</v>
      </c>
    </row>
    <row r="507" spans="7:9" x14ac:dyDescent="0.3">
      <c r="G507" t="s">
        <v>257</v>
      </c>
      <c r="H507" t="s">
        <v>27</v>
      </c>
      <c r="I507">
        <v>709883</v>
      </c>
    </row>
    <row r="508" spans="7:9" x14ac:dyDescent="0.3">
      <c r="H508" t="s">
        <v>1944</v>
      </c>
    </row>
    <row r="509" spans="7:9" x14ac:dyDescent="0.3">
      <c r="G509" t="s">
        <v>1521</v>
      </c>
    </row>
    <row r="510" spans="7:9" x14ac:dyDescent="0.3">
      <c r="G510" t="s">
        <v>269</v>
      </c>
      <c r="H510" t="s">
        <v>68</v>
      </c>
      <c r="I510">
        <v>730800</v>
      </c>
    </row>
    <row r="511" spans="7:9" x14ac:dyDescent="0.3">
      <c r="H511" t="s">
        <v>1948</v>
      </c>
    </row>
    <row r="512" spans="7:9" x14ac:dyDescent="0.3">
      <c r="G512" t="s">
        <v>1522</v>
      </c>
    </row>
    <row r="513" spans="7:9" x14ac:dyDescent="0.3">
      <c r="G513" t="s">
        <v>796</v>
      </c>
      <c r="H513" t="s">
        <v>152</v>
      </c>
      <c r="I513">
        <v>834435</v>
      </c>
    </row>
    <row r="514" spans="7:9" x14ac:dyDescent="0.3">
      <c r="H514" t="s">
        <v>1946</v>
      </c>
    </row>
    <row r="515" spans="7:9" x14ac:dyDescent="0.3">
      <c r="G515" t="s">
        <v>1523</v>
      </c>
    </row>
    <row r="516" spans="7:9" x14ac:dyDescent="0.3">
      <c r="G516" t="s">
        <v>1060</v>
      </c>
      <c r="H516" t="s">
        <v>123</v>
      </c>
      <c r="I516">
        <v>465278</v>
      </c>
    </row>
    <row r="517" spans="7:9" x14ac:dyDescent="0.3">
      <c r="H517" t="s">
        <v>1947</v>
      </c>
    </row>
    <row r="518" spans="7:9" x14ac:dyDescent="0.3">
      <c r="G518" t="s">
        <v>1524</v>
      </c>
    </row>
    <row r="519" spans="7:9" x14ac:dyDescent="0.3">
      <c r="G519" t="s">
        <v>498</v>
      </c>
      <c r="H519" t="s">
        <v>27</v>
      </c>
      <c r="I519">
        <v>788847</v>
      </c>
    </row>
    <row r="520" spans="7:9" x14ac:dyDescent="0.3">
      <c r="H520" t="s">
        <v>1944</v>
      </c>
    </row>
    <row r="521" spans="7:9" x14ac:dyDescent="0.3">
      <c r="G521" t="s">
        <v>1525</v>
      </c>
    </row>
    <row r="522" spans="7:9" x14ac:dyDescent="0.3">
      <c r="G522" t="s">
        <v>900</v>
      </c>
      <c r="H522" t="s">
        <v>27</v>
      </c>
      <c r="I522">
        <v>47172</v>
      </c>
    </row>
    <row r="523" spans="7:9" x14ac:dyDescent="0.3">
      <c r="H523" t="s">
        <v>1944</v>
      </c>
    </row>
    <row r="524" spans="7:9" x14ac:dyDescent="0.3">
      <c r="G524" t="s">
        <v>1526</v>
      </c>
    </row>
    <row r="525" spans="7:9" x14ac:dyDescent="0.3">
      <c r="G525" t="s">
        <v>483</v>
      </c>
      <c r="H525" t="s">
        <v>123</v>
      </c>
      <c r="I525">
        <v>286759</v>
      </c>
    </row>
    <row r="526" spans="7:9" x14ac:dyDescent="0.3">
      <c r="H526" t="s">
        <v>1947</v>
      </c>
    </row>
    <row r="527" spans="7:9" x14ac:dyDescent="0.3">
      <c r="G527" t="s">
        <v>1527</v>
      </c>
    </row>
    <row r="528" spans="7:9" x14ac:dyDescent="0.3">
      <c r="G528" t="s">
        <v>884</v>
      </c>
      <c r="H528" t="s">
        <v>152</v>
      </c>
      <c r="I528">
        <v>432868</v>
      </c>
    </row>
    <row r="529" spans="7:9" x14ac:dyDescent="0.3">
      <c r="H529" t="s">
        <v>1946</v>
      </c>
    </row>
    <row r="530" spans="7:9" x14ac:dyDescent="0.3">
      <c r="G530" t="s">
        <v>1528</v>
      </c>
    </row>
    <row r="531" spans="7:9" x14ac:dyDescent="0.3">
      <c r="G531" t="s">
        <v>994</v>
      </c>
      <c r="H531" t="s">
        <v>68</v>
      </c>
      <c r="I531">
        <v>289620</v>
      </c>
    </row>
    <row r="532" spans="7:9" x14ac:dyDescent="0.3">
      <c r="H532" t="s">
        <v>1948</v>
      </c>
    </row>
    <row r="533" spans="7:9" x14ac:dyDescent="0.3">
      <c r="G533" t="s">
        <v>1529</v>
      </c>
    </row>
    <row r="534" spans="7:9" x14ac:dyDescent="0.3">
      <c r="G534" t="s">
        <v>1054</v>
      </c>
      <c r="H534" t="s">
        <v>54</v>
      </c>
      <c r="I534">
        <v>618276</v>
      </c>
    </row>
    <row r="535" spans="7:9" x14ac:dyDescent="0.3">
      <c r="H535" t="s">
        <v>1950</v>
      </c>
    </row>
    <row r="536" spans="7:9" x14ac:dyDescent="0.3">
      <c r="G536" t="s">
        <v>1530</v>
      </c>
    </row>
    <row r="537" spans="7:9" x14ac:dyDescent="0.3">
      <c r="G537" t="s">
        <v>413</v>
      </c>
      <c r="H537" t="s">
        <v>123</v>
      </c>
      <c r="I537">
        <v>191472</v>
      </c>
    </row>
    <row r="538" spans="7:9" x14ac:dyDescent="0.3">
      <c r="H538" t="s">
        <v>1947</v>
      </c>
    </row>
    <row r="539" spans="7:9" x14ac:dyDescent="0.3">
      <c r="G539" t="s">
        <v>1531</v>
      </c>
    </row>
    <row r="540" spans="7:9" x14ac:dyDescent="0.3">
      <c r="G540" t="s">
        <v>600</v>
      </c>
      <c r="H540" t="s">
        <v>54</v>
      </c>
      <c r="I540">
        <v>322509</v>
      </c>
    </row>
    <row r="541" spans="7:9" x14ac:dyDescent="0.3">
      <c r="H541" t="s">
        <v>1950</v>
      </c>
    </row>
    <row r="542" spans="7:9" x14ac:dyDescent="0.3">
      <c r="G542" t="s">
        <v>1532</v>
      </c>
    </row>
    <row r="543" spans="7:9" x14ac:dyDescent="0.3">
      <c r="G543" t="s">
        <v>125</v>
      </c>
      <c r="H543" t="s">
        <v>36</v>
      </c>
      <c r="I543">
        <v>222942</v>
      </c>
    </row>
    <row r="544" spans="7:9" x14ac:dyDescent="0.3">
      <c r="H544" t="s">
        <v>1945</v>
      </c>
    </row>
    <row r="545" spans="7:9" x14ac:dyDescent="0.3">
      <c r="G545" t="s">
        <v>1533</v>
      </c>
    </row>
    <row r="546" spans="7:9" x14ac:dyDescent="0.3">
      <c r="G546" t="s">
        <v>1152</v>
      </c>
      <c r="H546" t="s">
        <v>152</v>
      </c>
      <c r="I546">
        <v>597096</v>
      </c>
    </row>
    <row r="547" spans="7:9" x14ac:dyDescent="0.3">
      <c r="H547" t="s">
        <v>1946</v>
      </c>
    </row>
    <row r="548" spans="7:9" x14ac:dyDescent="0.3">
      <c r="G548" t="s">
        <v>1534</v>
      </c>
    </row>
    <row r="549" spans="7:9" x14ac:dyDescent="0.3">
      <c r="G549" t="s">
        <v>399</v>
      </c>
      <c r="H549" t="s">
        <v>54</v>
      </c>
      <c r="I549">
        <v>893544</v>
      </c>
    </row>
    <row r="550" spans="7:9" x14ac:dyDescent="0.3">
      <c r="H550" t="s">
        <v>1950</v>
      </c>
    </row>
    <row r="551" spans="7:9" x14ac:dyDescent="0.3">
      <c r="G551" t="s">
        <v>1535</v>
      </c>
    </row>
    <row r="552" spans="7:9" x14ac:dyDescent="0.3">
      <c r="G552" t="s">
        <v>686</v>
      </c>
      <c r="H552" t="s">
        <v>68</v>
      </c>
      <c r="I552">
        <v>833778</v>
      </c>
    </row>
    <row r="553" spans="7:9" x14ac:dyDescent="0.3">
      <c r="H553" t="s">
        <v>1948</v>
      </c>
    </row>
    <row r="554" spans="7:9" x14ac:dyDescent="0.3">
      <c r="G554" t="s">
        <v>1536</v>
      </c>
    </row>
    <row r="555" spans="7:9" x14ac:dyDescent="0.3">
      <c r="G555" t="s">
        <v>1038</v>
      </c>
      <c r="H555" t="s">
        <v>36</v>
      </c>
      <c r="I555">
        <v>814005</v>
      </c>
    </row>
    <row r="556" spans="7:9" x14ac:dyDescent="0.3">
      <c r="H556" t="s">
        <v>1945</v>
      </c>
    </row>
    <row r="557" spans="7:9" x14ac:dyDescent="0.3">
      <c r="G557" t="s">
        <v>1537</v>
      </c>
    </row>
    <row r="558" spans="7:9" x14ac:dyDescent="0.3">
      <c r="G558" t="s">
        <v>165</v>
      </c>
      <c r="H558" t="s">
        <v>68</v>
      </c>
      <c r="I558">
        <v>612811</v>
      </c>
    </row>
    <row r="559" spans="7:9" x14ac:dyDescent="0.3">
      <c r="H559" t="s">
        <v>1948</v>
      </c>
    </row>
    <row r="560" spans="7:9" x14ac:dyDescent="0.3">
      <c r="G560" t="s">
        <v>1538</v>
      </c>
    </row>
    <row r="561" spans="7:9" x14ac:dyDescent="0.3">
      <c r="G561" t="s">
        <v>367</v>
      </c>
      <c r="H561" t="s">
        <v>54</v>
      </c>
      <c r="I561">
        <v>813567</v>
      </c>
    </row>
    <row r="562" spans="7:9" x14ac:dyDescent="0.3">
      <c r="H562" t="s">
        <v>1950</v>
      </c>
    </row>
    <row r="563" spans="7:9" x14ac:dyDescent="0.3">
      <c r="G563" t="s">
        <v>1539</v>
      </c>
    </row>
    <row r="564" spans="7:9" x14ac:dyDescent="0.3">
      <c r="G564" t="s">
        <v>598</v>
      </c>
      <c r="H564" t="s">
        <v>60</v>
      </c>
      <c r="I564">
        <v>729005</v>
      </c>
    </row>
    <row r="565" spans="7:9" x14ac:dyDescent="0.3">
      <c r="H565" t="s">
        <v>1949</v>
      </c>
    </row>
    <row r="566" spans="7:9" x14ac:dyDescent="0.3">
      <c r="G566" t="s">
        <v>1540</v>
      </c>
    </row>
    <row r="567" spans="7:9" x14ac:dyDescent="0.3">
      <c r="G567" t="s">
        <v>1232</v>
      </c>
      <c r="H567" t="s">
        <v>123</v>
      </c>
      <c r="I567">
        <v>193155</v>
      </c>
    </row>
    <row r="568" spans="7:9" x14ac:dyDescent="0.3">
      <c r="H568" t="s">
        <v>1947</v>
      </c>
    </row>
    <row r="569" spans="7:9" x14ac:dyDescent="0.3">
      <c r="G569" t="s">
        <v>1541</v>
      </c>
    </row>
    <row r="570" spans="7:9" x14ac:dyDescent="0.3">
      <c r="G570" t="s">
        <v>253</v>
      </c>
      <c r="H570" t="s">
        <v>27</v>
      </c>
      <c r="I570">
        <v>608416</v>
      </c>
    </row>
    <row r="571" spans="7:9" x14ac:dyDescent="0.3">
      <c r="H571" t="s">
        <v>1944</v>
      </c>
    </row>
    <row r="572" spans="7:9" x14ac:dyDescent="0.3">
      <c r="G572" t="s">
        <v>1542</v>
      </c>
    </row>
    <row r="573" spans="7:9" x14ac:dyDescent="0.3">
      <c r="G573" t="s">
        <v>906</v>
      </c>
      <c r="H573" t="s">
        <v>68</v>
      </c>
      <c r="I573">
        <v>569332</v>
      </c>
    </row>
    <row r="574" spans="7:9" x14ac:dyDescent="0.3">
      <c r="H574" t="s">
        <v>1948</v>
      </c>
    </row>
    <row r="575" spans="7:9" x14ac:dyDescent="0.3">
      <c r="G575" t="s">
        <v>1543</v>
      </c>
    </row>
    <row r="576" spans="7:9" x14ac:dyDescent="0.3">
      <c r="G576" t="s">
        <v>886</v>
      </c>
      <c r="H576" t="s">
        <v>36</v>
      </c>
      <c r="I576">
        <v>787125</v>
      </c>
    </row>
    <row r="577" spans="7:9" x14ac:dyDescent="0.3">
      <c r="H577" t="s">
        <v>1945</v>
      </c>
    </row>
    <row r="578" spans="7:9" x14ac:dyDescent="0.3">
      <c r="G578" t="s">
        <v>1544</v>
      </c>
    </row>
    <row r="579" spans="7:9" x14ac:dyDescent="0.3">
      <c r="G579" t="s">
        <v>976</v>
      </c>
      <c r="H579" t="s">
        <v>152</v>
      </c>
      <c r="I579">
        <v>180508</v>
      </c>
    </row>
    <row r="580" spans="7:9" x14ac:dyDescent="0.3">
      <c r="H580" t="s">
        <v>1946</v>
      </c>
    </row>
    <row r="581" spans="7:9" x14ac:dyDescent="0.3">
      <c r="G581" t="s">
        <v>1545</v>
      </c>
    </row>
    <row r="582" spans="7:9" x14ac:dyDescent="0.3">
      <c r="G582" t="s">
        <v>1022</v>
      </c>
      <c r="H582" t="s">
        <v>68</v>
      </c>
      <c r="I582">
        <v>111590</v>
      </c>
    </row>
    <row r="583" spans="7:9" x14ac:dyDescent="0.3">
      <c r="H583" t="s">
        <v>1948</v>
      </c>
    </row>
    <row r="584" spans="7:9" x14ac:dyDescent="0.3">
      <c r="G584" t="s">
        <v>1546</v>
      </c>
    </row>
    <row r="585" spans="7:9" x14ac:dyDescent="0.3">
      <c r="G585" t="s">
        <v>1156</v>
      </c>
      <c r="H585" t="s">
        <v>68</v>
      </c>
      <c r="I585">
        <v>360170</v>
      </c>
    </row>
    <row r="586" spans="7:9" x14ac:dyDescent="0.3">
      <c r="H586" t="s">
        <v>1948</v>
      </c>
    </row>
    <row r="587" spans="7:9" x14ac:dyDescent="0.3">
      <c r="G587" t="s">
        <v>1547</v>
      </c>
    </row>
    <row r="588" spans="7:9" x14ac:dyDescent="0.3">
      <c r="G588" t="s">
        <v>834</v>
      </c>
      <c r="H588" t="s">
        <v>68</v>
      </c>
      <c r="I588">
        <v>494878</v>
      </c>
    </row>
    <row r="589" spans="7:9" x14ac:dyDescent="0.3">
      <c r="H589" t="s">
        <v>1948</v>
      </c>
    </row>
    <row r="590" spans="7:9" x14ac:dyDescent="0.3">
      <c r="G590" t="s">
        <v>1548</v>
      </c>
    </row>
    <row r="591" spans="7:9" x14ac:dyDescent="0.3">
      <c r="G591" t="s">
        <v>138</v>
      </c>
      <c r="H591" t="s">
        <v>36</v>
      </c>
      <c r="I591">
        <v>159277</v>
      </c>
    </row>
    <row r="592" spans="7:9" x14ac:dyDescent="0.3">
      <c r="H592" t="s">
        <v>1945</v>
      </c>
    </row>
    <row r="593" spans="7:9" x14ac:dyDescent="0.3">
      <c r="G593" t="s">
        <v>1549</v>
      </c>
    </row>
    <row r="594" spans="7:9" x14ac:dyDescent="0.3">
      <c r="G594" t="s">
        <v>222</v>
      </c>
      <c r="H594" t="s">
        <v>54</v>
      </c>
      <c r="I594">
        <v>802634</v>
      </c>
    </row>
    <row r="595" spans="7:9" x14ac:dyDescent="0.3">
      <c r="H595" t="s">
        <v>1950</v>
      </c>
    </row>
    <row r="596" spans="7:9" x14ac:dyDescent="0.3">
      <c r="G596" t="s">
        <v>1550</v>
      </c>
    </row>
    <row r="597" spans="7:9" x14ac:dyDescent="0.3">
      <c r="G597" t="s">
        <v>774</v>
      </c>
      <c r="H597" t="s">
        <v>36</v>
      </c>
      <c r="I597">
        <v>74959</v>
      </c>
    </row>
    <row r="598" spans="7:9" x14ac:dyDescent="0.3">
      <c r="H598" t="s">
        <v>1945</v>
      </c>
    </row>
    <row r="599" spans="7:9" x14ac:dyDescent="0.3">
      <c r="G599" t="s">
        <v>1551</v>
      </c>
    </row>
    <row r="600" spans="7:9" x14ac:dyDescent="0.3">
      <c r="G600" t="s">
        <v>29</v>
      </c>
      <c r="H600" t="s">
        <v>36</v>
      </c>
      <c r="I600">
        <v>50046</v>
      </c>
    </row>
    <row r="601" spans="7:9" x14ac:dyDescent="0.3">
      <c r="H601" t="s">
        <v>1945</v>
      </c>
    </row>
    <row r="602" spans="7:9" x14ac:dyDescent="0.3">
      <c r="G602" t="s">
        <v>1552</v>
      </c>
    </row>
    <row r="603" spans="7:9" x14ac:dyDescent="0.3">
      <c r="G603" t="s">
        <v>1166</v>
      </c>
      <c r="H603" t="s">
        <v>152</v>
      </c>
      <c r="I603">
        <v>95569</v>
      </c>
    </row>
    <row r="604" spans="7:9" x14ac:dyDescent="0.3">
      <c r="H604" t="s">
        <v>1946</v>
      </c>
    </row>
    <row r="605" spans="7:9" x14ac:dyDescent="0.3">
      <c r="G605" t="s">
        <v>1553</v>
      </c>
    </row>
    <row r="606" spans="7:9" x14ac:dyDescent="0.3">
      <c r="G606" t="s">
        <v>287</v>
      </c>
      <c r="H606" t="s">
        <v>27</v>
      </c>
      <c r="I606">
        <v>904142</v>
      </c>
    </row>
    <row r="607" spans="7:9" x14ac:dyDescent="0.3">
      <c r="H607" t="s">
        <v>1944</v>
      </c>
    </row>
    <row r="608" spans="7:9" x14ac:dyDescent="0.3">
      <c r="G608" t="s">
        <v>1554</v>
      </c>
    </row>
    <row r="609" spans="7:9" x14ac:dyDescent="0.3">
      <c r="G609" t="s">
        <v>704</v>
      </c>
      <c r="H609" t="s">
        <v>60</v>
      </c>
      <c r="I609">
        <v>179594</v>
      </c>
    </row>
    <row r="610" spans="7:9" x14ac:dyDescent="0.3">
      <c r="H610" t="s">
        <v>1949</v>
      </c>
    </row>
    <row r="611" spans="7:9" x14ac:dyDescent="0.3">
      <c r="G611" t="s">
        <v>1555</v>
      </c>
    </row>
    <row r="612" spans="7:9" x14ac:dyDescent="0.3">
      <c r="G612" t="s">
        <v>776</v>
      </c>
      <c r="H612" t="s">
        <v>123</v>
      </c>
      <c r="I612">
        <v>915136</v>
      </c>
    </row>
    <row r="613" spans="7:9" x14ac:dyDescent="0.3">
      <c r="H613" t="s">
        <v>1947</v>
      </c>
    </row>
    <row r="614" spans="7:9" x14ac:dyDescent="0.3">
      <c r="G614" t="s">
        <v>1556</v>
      </c>
    </row>
    <row r="615" spans="7:9" x14ac:dyDescent="0.3">
      <c r="G615" t="s">
        <v>1242</v>
      </c>
      <c r="H615" t="s">
        <v>60</v>
      </c>
      <c r="I615">
        <v>567162</v>
      </c>
    </row>
    <row r="616" spans="7:9" x14ac:dyDescent="0.3">
      <c r="H616" t="s">
        <v>1949</v>
      </c>
    </row>
    <row r="617" spans="7:9" x14ac:dyDescent="0.3">
      <c r="G617" t="s">
        <v>1557</v>
      </c>
    </row>
    <row r="618" spans="7:9" x14ac:dyDescent="0.3">
      <c r="G618" t="s">
        <v>1140</v>
      </c>
      <c r="H618" t="s">
        <v>123</v>
      </c>
      <c r="I618">
        <v>584435</v>
      </c>
    </row>
    <row r="619" spans="7:9" x14ac:dyDescent="0.3">
      <c r="H619" t="s">
        <v>1947</v>
      </c>
    </row>
    <row r="620" spans="7:9" x14ac:dyDescent="0.3">
      <c r="G620" t="s">
        <v>1558</v>
      </c>
    </row>
    <row r="621" spans="7:9" x14ac:dyDescent="0.3">
      <c r="G621" t="s">
        <v>714</v>
      </c>
      <c r="H621" t="s">
        <v>123</v>
      </c>
      <c r="I621">
        <v>163616</v>
      </c>
    </row>
    <row r="622" spans="7:9" x14ac:dyDescent="0.3">
      <c r="H622" t="s">
        <v>1947</v>
      </c>
    </row>
    <row r="623" spans="7:9" x14ac:dyDescent="0.3">
      <c r="G623" t="s">
        <v>1559</v>
      </c>
    </row>
    <row r="624" spans="7:9" x14ac:dyDescent="0.3">
      <c r="G624" t="s">
        <v>712</v>
      </c>
      <c r="H624" t="s">
        <v>36</v>
      </c>
      <c r="I624">
        <v>860759</v>
      </c>
    </row>
    <row r="625" spans="7:9" x14ac:dyDescent="0.3">
      <c r="H625" t="s">
        <v>1945</v>
      </c>
    </row>
    <row r="626" spans="7:9" x14ac:dyDescent="0.3">
      <c r="G626" t="s">
        <v>1560</v>
      </c>
    </row>
    <row r="627" spans="7:9" x14ac:dyDescent="0.3">
      <c r="G627" t="s">
        <v>620</v>
      </c>
      <c r="H627" t="s">
        <v>54</v>
      </c>
      <c r="I627">
        <v>923155</v>
      </c>
    </row>
    <row r="628" spans="7:9" x14ac:dyDescent="0.3">
      <c r="H628" t="s">
        <v>1950</v>
      </c>
    </row>
    <row r="629" spans="7:9" x14ac:dyDescent="0.3">
      <c r="G629" t="s">
        <v>1561</v>
      </c>
    </row>
    <row r="630" spans="7:9" x14ac:dyDescent="0.3">
      <c r="G630" t="s">
        <v>850</v>
      </c>
      <c r="H630" t="s">
        <v>54</v>
      </c>
      <c r="I630">
        <v>778903</v>
      </c>
    </row>
    <row r="631" spans="7:9" x14ac:dyDescent="0.3">
      <c r="H631" t="s">
        <v>1950</v>
      </c>
    </row>
    <row r="632" spans="7:9" x14ac:dyDescent="0.3">
      <c r="G632" t="s">
        <v>1562</v>
      </c>
    </row>
    <row r="633" spans="7:9" x14ac:dyDescent="0.3">
      <c r="G633" t="s">
        <v>349</v>
      </c>
      <c r="H633" t="s">
        <v>68</v>
      </c>
      <c r="I633">
        <v>743363</v>
      </c>
    </row>
    <row r="634" spans="7:9" x14ac:dyDescent="0.3">
      <c r="H634" t="s">
        <v>1948</v>
      </c>
    </row>
    <row r="635" spans="7:9" x14ac:dyDescent="0.3">
      <c r="G635" t="s">
        <v>1563</v>
      </c>
    </row>
    <row r="636" spans="7:9" x14ac:dyDescent="0.3">
      <c r="G636" t="s">
        <v>758</v>
      </c>
      <c r="H636" t="s">
        <v>60</v>
      </c>
      <c r="I636">
        <v>245947</v>
      </c>
    </row>
    <row r="637" spans="7:9" x14ac:dyDescent="0.3">
      <c r="H637" t="s">
        <v>1949</v>
      </c>
    </row>
    <row r="638" spans="7:9" x14ac:dyDescent="0.3">
      <c r="G638" t="s">
        <v>1564</v>
      </c>
    </row>
    <row r="639" spans="7:9" x14ac:dyDescent="0.3">
      <c r="G639" t="s">
        <v>860</v>
      </c>
      <c r="H639" t="s">
        <v>152</v>
      </c>
      <c r="I639">
        <v>328504</v>
      </c>
    </row>
    <row r="640" spans="7:9" x14ac:dyDescent="0.3">
      <c r="H640" t="s">
        <v>1946</v>
      </c>
    </row>
    <row r="641" spans="7:9" x14ac:dyDescent="0.3">
      <c r="G641" t="s">
        <v>1565</v>
      </c>
    </row>
    <row r="642" spans="7:9" x14ac:dyDescent="0.3">
      <c r="G642" t="s">
        <v>176</v>
      </c>
      <c r="H642" t="s">
        <v>123</v>
      </c>
      <c r="I642">
        <v>410186</v>
      </c>
    </row>
    <row r="643" spans="7:9" x14ac:dyDescent="0.3">
      <c r="H643" t="s">
        <v>1947</v>
      </c>
    </row>
    <row r="644" spans="7:9" x14ac:dyDescent="0.3">
      <c r="G644" t="s">
        <v>1566</v>
      </c>
    </row>
    <row r="645" spans="7:9" x14ac:dyDescent="0.3">
      <c r="G645" t="s">
        <v>371</v>
      </c>
      <c r="H645" t="s">
        <v>123</v>
      </c>
      <c r="I645">
        <v>466271</v>
      </c>
    </row>
    <row r="646" spans="7:9" x14ac:dyDescent="0.3">
      <c r="H646" t="s">
        <v>1947</v>
      </c>
    </row>
    <row r="647" spans="7:9" x14ac:dyDescent="0.3">
      <c r="G647" t="s">
        <v>1567</v>
      </c>
    </row>
    <row r="648" spans="7:9" x14ac:dyDescent="0.3">
      <c r="G648" t="s">
        <v>232</v>
      </c>
      <c r="H648" t="s">
        <v>152</v>
      </c>
      <c r="I648">
        <v>426550</v>
      </c>
    </row>
    <row r="649" spans="7:9" x14ac:dyDescent="0.3">
      <c r="H649" t="s">
        <v>1946</v>
      </c>
    </row>
    <row r="650" spans="7:9" x14ac:dyDescent="0.3">
      <c r="G650" t="s">
        <v>1568</v>
      </c>
    </row>
    <row r="651" spans="7:9" x14ac:dyDescent="0.3">
      <c r="G651" t="s">
        <v>205</v>
      </c>
      <c r="H651" t="s">
        <v>54</v>
      </c>
      <c r="I651">
        <v>137857</v>
      </c>
    </row>
    <row r="652" spans="7:9" x14ac:dyDescent="0.3">
      <c r="H652" t="s">
        <v>1950</v>
      </c>
    </row>
    <row r="653" spans="7:9" x14ac:dyDescent="0.3">
      <c r="G653" t="s">
        <v>1569</v>
      </c>
    </row>
    <row r="654" spans="7:9" x14ac:dyDescent="0.3">
      <c r="G654" t="s">
        <v>187</v>
      </c>
      <c r="H654" t="s">
        <v>54</v>
      </c>
      <c r="I654">
        <v>122331</v>
      </c>
    </row>
    <row r="655" spans="7:9" x14ac:dyDescent="0.3">
      <c r="H655" t="s">
        <v>1950</v>
      </c>
    </row>
    <row r="656" spans="7:9" x14ac:dyDescent="0.3">
      <c r="G656" t="s">
        <v>1570</v>
      </c>
    </row>
    <row r="657" spans="7:9" x14ac:dyDescent="0.3">
      <c r="G657" t="s">
        <v>676</v>
      </c>
      <c r="H657" t="s">
        <v>152</v>
      </c>
      <c r="I657">
        <v>6347</v>
      </c>
    </row>
    <row r="658" spans="7:9" x14ac:dyDescent="0.3">
      <c r="H658" t="s">
        <v>1946</v>
      </c>
    </row>
    <row r="659" spans="7:9" x14ac:dyDescent="0.3">
      <c r="G659" t="s">
        <v>1571</v>
      </c>
    </row>
    <row r="660" spans="7:9" x14ac:dyDescent="0.3">
      <c r="G660" t="s">
        <v>419</v>
      </c>
      <c r="H660" t="s">
        <v>60</v>
      </c>
      <c r="I660">
        <v>164368</v>
      </c>
    </row>
    <row r="661" spans="7:9" x14ac:dyDescent="0.3">
      <c r="H661" t="s">
        <v>1949</v>
      </c>
    </row>
    <row r="662" spans="7:9" x14ac:dyDescent="0.3">
      <c r="G662" t="s">
        <v>1572</v>
      </c>
    </row>
    <row r="663" spans="7:9" x14ac:dyDescent="0.3">
      <c r="G663" t="s">
        <v>1234</v>
      </c>
      <c r="H663" t="s">
        <v>54</v>
      </c>
      <c r="I663">
        <v>133781</v>
      </c>
    </row>
    <row r="664" spans="7:9" x14ac:dyDescent="0.3">
      <c r="H664" t="s">
        <v>1950</v>
      </c>
    </row>
    <row r="665" spans="7:9" x14ac:dyDescent="0.3">
      <c r="G665" t="s">
        <v>1573</v>
      </c>
    </row>
    <row r="666" spans="7:9" x14ac:dyDescent="0.3">
      <c r="G666" t="s">
        <v>1004</v>
      </c>
      <c r="H666" t="s">
        <v>54</v>
      </c>
      <c r="I666">
        <v>142879</v>
      </c>
    </row>
    <row r="667" spans="7:9" x14ac:dyDescent="0.3">
      <c r="H667" t="s">
        <v>1950</v>
      </c>
    </row>
    <row r="668" spans="7:9" x14ac:dyDescent="0.3">
      <c r="G668" t="s">
        <v>1574</v>
      </c>
    </row>
    <row r="669" spans="7:9" x14ac:dyDescent="0.3">
      <c r="G669" t="s">
        <v>546</v>
      </c>
      <c r="H669" t="s">
        <v>123</v>
      </c>
      <c r="I669">
        <v>283200</v>
      </c>
    </row>
    <row r="670" spans="7:9" x14ac:dyDescent="0.3">
      <c r="H670" t="s">
        <v>1947</v>
      </c>
    </row>
    <row r="671" spans="7:9" x14ac:dyDescent="0.3">
      <c r="G671" t="s">
        <v>1575</v>
      </c>
    </row>
    <row r="672" spans="7:9" x14ac:dyDescent="0.3">
      <c r="G672" t="s">
        <v>842</v>
      </c>
      <c r="H672" t="s">
        <v>152</v>
      </c>
      <c r="I672">
        <v>706596</v>
      </c>
    </row>
    <row r="673" spans="7:9" x14ac:dyDescent="0.3">
      <c r="H673" t="s">
        <v>1946</v>
      </c>
    </row>
    <row r="674" spans="7:9" x14ac:dyDescent="0.3">
      <c r="G674" t="s">
        <v>1576</v>
      </c>
    </row>
    <row r="675" spans="7:9" x14ac:dyDescent="0.3">
      <c r="G675" t="s">
        <v>437</v>
      </c>
      <c r="H675" t="s">
        <v>152</v>
      </c>
      <c r="I675">
        <v>893940</v>
      </c>
    </row>
    <row r="676" spans="7:9" x14ac:dyDescent="0.3">
      <c r="H676" t="s">
        <v>1946</v>
      </c>
    </row>
    <row r="677" spans="7:9" x14ac:dyDescent="0.3">
      <c r="G677" t="s">
        <v>1577</v>
      </c>
    </row>
    <row r="678" spans="7:9" x14ac:dyDescent="0.3">
      <c r="G678" t="s">
        <v>1178</v>
      </c>
      <c r="H678" t="s">
        <v>54</v>
      </c>
      <c r="I678">
        <v>471829</v>
      </c>
    </row>
    <row r="679" spans="7:9" x14ac:dyDescent="0.3">
      <c r="H679" t="s">
        <v>1950</v>
      </c>
    </row>
    <row r="680" spans="7:9" x14ac:dyDescent="0.3">
      <c r="G680" t="s">
        <v>1578</v>
      </c>
    </row>
    <row r="681" spans="7:9" x14ac:dyDescent="0.3">
      <c r="G681" t="s">
        <v>866</v>
      </c>
      <c r="H681" t="s">
        <v>123</v>
      </c>
      <c r="I681">
        <v>733209</v>
      </c>
    </row>
    <row r="682" spans="7:9" x14ac:dyDescent="0.3">
      <c r="H682" t="s">
        <v>1947</v>
      </c>
    </row>
    <row r="683" spans="7:9" x14ac:dyDescent="0.3">
      <c r="G683" t="s">
        <v>1579</v>
      </c>
    </row>
    <row r="684" spans="7:9" x14ac:dyDescent="0.3">
      <c r="G684" t="s">
        <v>1048</v>
      </c>
      <c r="H684" t="s">
        <v>68</v>
      </c>
      <c r="I684">
        <v>142807</v>
      </c>
    </row>
    <row r="685" spans="7:9" x14ac:dyDescent="0.3">
      <c r="H685" t="s">
        <v>1948</v>
      </c>
    </row>
    <row r="686" spans="7:9" x14ac:dyDescent="0.3">
      <c r="G686" t="s">
        <v>1580</v>
      </c>
    </row>
    <row r="687" spans="7:9" x14ac:dyDescent="0.3">
      <c r="G687" t="s">
        <v>670</v>
      </c>
      <c r="H687" t="s">
        <v>27</v>
      </c>
      <c r="I687">
        <v>9686</v>
      </c>
    </row>
    <row r="688" spans="7:9" x14ac:dyDescent="0.3">
      <c r="H688" t="s">
        <v>1944</v>
      </c>
    </row>
    <row r="689" spans="7:9" x14ac:dyDescent="0.3">
      <c r="G689" t="s">
        <v>1581</v>
      </c>
    </row>
    <row r="690" spans="7:9" x14ac:dyDescent="0.3">
      <c r="G690" t="s">
        <v>710</v>
      </c>
      <c r="H690" t="s">
        <v>36</v>
      </c>
      <c r="I690">
        <v>353418</v>
      </c>
    </row>
    <row r="691" spans="7:9" x14ac:dyDescent="0.3">
      <c r="H691" t="s">
        <v>1945</v>
      </c>
    </row>
    <row r="692" spans="7:9" x14ac:dyDescent="0.3">
      <c r="G692" t="s">
        <v>1582</v>
      </c>
    </row>
    <row r="693" spans="7:9" x14ac:dyDescent="0.3">
      <c r="G693" t="s">
        <v>706</v>
      </c>
      <c r="H693" t="s">
        <v>152</v>
      </c>
      <c r="I693">
        <v>899601</v>
      </c>
    </row>
    <row r="694" spans="7:9" x14ac:dyDescent="0.3">
      <c r="H694" t="s">
        <v>1946</v>
      </c>
    </row>
    <row r="695" spans="7:9" x14ac:dyDescent="0.3">
      <c r="G695" t="s">
        <v>1583</v>
      </c>
    </row>
    <row r="696" spans="7:9" x14ac:dyDescent="0.3">
      <c r="G696" t="s">
        <v>161</v>
      </c>
      <c r="H696" t="s">
        <v>152</v>
      </c>
      <c r="I696">
        <v>579055</v>
      </c>
    </row>
    <row r="697" spans="7:9" x14ac:dyDescent="0.3">
      <c r="H697" t="s">
        <v>1946</v>
      </c>
    </row>
    <row r="698" spans="7:9" x14ac:dyDescent="0.3">
      <c r="G698" t="s">
        <v>1584</v>
      </c>
    </row>
    <row r="699" spans="7:9" x14ac:dyDescent="0.3">
      <c r="G699" t="s">
        <v>816</v>
      </c>
      <c r="H699" t="s">
        <v>27</v>
      </c>
      <c r="I699">
        <v>793253</v>
      </c>
    </row>
    <row r="700" spans="7:9" x14ac:dyDescent="0.3">
      <c r="H700" t="s">
        <v>1944</v>
      </c>
    </row>
    <row r="701" spans="7:9" x14ac:dyDescent="0.3">
      <c r="G701" t="s">
        <v>1585</v>
      </c>
    </row>
    <row r="702" spans="7:9" x14ac:dyDescent="0.3">
      <c r="G702" t="s">
        <v>542</v>
      </c>
      <c r="H702" t="s">
        <v>152</v>
      </c>
      <c r="I702">
        <v>386828</v>
      </c>
    </row>
    <row r="703" spans="7:9" x14ac:dyDescent="0.3">
      <c r="H703" t="s">
        <v>1946</v>
      </c>
    </row>
    <row r="704" spans="7:9" x14ac:dyDescent="0.3">
      <c r="G704" t="s">
        <v>1586</v>
      </c>
    </row>
    <row r="705" spans="7:9" x14ac:dyDescent="0.3">
      <c r="G705" t="s">
        <v>580</v>
      </c>
      <c r="H705" t="s">
        <v>123</v>
      </c>
      <c r="I705">
        <v>773539</v>
      </c>
    </row>
    <row r="706" spans="7:9" x14ac:dyDescent="0.3">
      <c r="H706" t="s">
        <v>1947</v>
      </c>
    </row>
    <row r="707" spans="7:9" x14ac:dyDescent="0.3">
      <c r="G707" t="s">
        <v>1587</v>
      </c>
    </row>
    <row r="708" spans="7:9" x14ac:dyDescent="0.3">
      <c r="G708" t="s">
        <v>492</v>
      </c>
      <c r="H708" t="s">
        <v>60</v>
      </c>
      <c r="I708">
        <v>265542</v>
      </c>
    </row>
    <row r="709" spans="7:9" x14ac:dyDescent="0.3">
      <c r="H709" t="s">
        <v>1949</v>
      </c>
    </row>
    <row r="710" spans="7:9" x14ac:dyDescent="0.3">
      <c r="G710" t="s">
        <v>1588</v>
      </c>
    </row>
    <row r="711" spans="7:9" x14ac:dyDescent="0.3">
      <c r="G711" t="s">
        <v>518</v>
      </c>
      <c r="H711" t="s">
        <v>68</v>
      </c>
      <c r="I711">
        <v>675992</v>
      </c>
    </row>
    <row r="712" spans="7:9" x14ac:dyDescent="0.3">
      <c r="H712" t="s">
        <v>1948</v>
      </c>
    </row>
    <row r="713" spans="7:9" x14ac:dyDescent="0.3">
      <c r="G713" t="s">
        <v>1589</v>
      </c>
    </row>
    <row r="714" spans="7:9" x14ac:dyDescent="0.3">
      <c r="G714" t="s">
        <v>431</v>
      </c>
      <c r="H714" t="s">
        <v>36</v>
      </c>
      <c r="I714">
        <v>26790</v>
      </c>
    </row>
    <row r="715" spans="7:9" x14ac:dyDescent="0.3">
      <c r="H715" t="s">
        <v>1945</v>
      </c>
    </row>
    <row r="716" spans="7:9" x14ac:dyDescent="0.3">
      <c r="G716" t="s">
        <v>1590</v>
      </c>
    </row>
    <row r="717" spans="7:9" x14ac:dyDescent="0.3">
      <c r="G717" t="s">
        <v>1144</v>
      </c>
      <c r="H717" t="s">
        <v>152</v>
      </c>
      <c r="I717">
        <v>609651</v>
      </c>
    </row>
    <row r="718" spans="7:9" x14ac:dyDescent="0.3">
      <c r="H718" t="s">
        <v>1946</v>
      </c>
    </row>
    <row r="719" spans="7:9" x14ac:dyDescent="0.3">
      <c r="G719" t="s">
        <v>1591</v>
      </c>
    </row>
    <row r="720" spans="7:9" x14ac:dyDescent="0.3">
      <c r="G720" t="s">
        <v>514</v>
      </c>
      <c r="H720" t="s">
        <v>152</v>
      </c>
      <c r="I720">
        <v>656195</v>
      </c>
    </row>
    <row r="721" spans="7:9" x14ac:dyDescent="0.3">
      <c r="H721" t="s">
        <v>1946</v>
      </c>
    </row>
    <row r="722" spans="7:9" x14ac:dyDescent="0.3">
      <c r="G722" t="s">
        <v>1592</v>
      </c>
    </row>
    <row r="723" spans="7:9" x14ac:dyDescent="0.3">
      <c r="G723" t="s">
        <v>920</v>
      </c>
      <c r="H723" t="s">
        <v>36</v>
      </c>
      <c r="I723">
        <v>801964</v>
      </c>
    </row>
    <row r="724" spans="7:9" x14ac:dyDescent="0.3">
      <c r="H724" t="s">
        <v>1945</v>
      </c>
    </row>
    <row r="725" spans="7:9" x14ac:dyDescent="0.3">
      <c r="G725" t="s">
        <v>1593</v>
      </c>
    </row>
    <row r="726" spans="7:9" x14ac:dyDescent="0.3">
      <c r="G726" t="s">
        <v>38</v>
      </c>
      <c r="H726" t="s">
        <v>36</v>
      </c>
      <c r="I726">
        <v>48801</v>
      </c>
    </row>
    <row r="727" spans="7:9" x14ac:dyDescent="0.3">
      <c r="H727" t="s">
        <v>1945</v>
      </c>
    </row>
    <row r="728" spans="7:9" x14ac:dyDescent="0.3">
      <c r="G728" t="s">
        <v>1594</v>
      </c>
    </row>
    <row r="729" spans="7:9" x14ac:dyDescent="0.3">
      <c r="G729" t="s">
        <v>1244</v>
      </c>
      <c r="H729" t="s">
        <v>36</v>
      </c>
      <c r="I729">
        <v>192555</v>
      </c>
    </row>
    <row r="730" spans="7:9" x14ac:dyDescent="0.3">
      <c r="H730" t="s">
        <v>1945</v>
      </c>
    </row>
    <row r="731" spans="7:9" x14ac:dyDescent="0.3">
      <c r="G731" t="s">
        <v>1595</v>
      </c>
    </row>
    <row r="732" spans="7:9" x14ac:dyDescent="0.3">
      <c r="G732" t="s">
        <v>524</v>
      </c>
      <c r="H732" t="s">
        <v>36</v>
      </c>
      <c r="I732">
        <v>138735</v>
      </c>
    </row>
    <row r="733" spans="7:9" x14ac:dyDescent="0.3">
      <c r="H733" t="s">
        <v>1945</v>
      </c>
    </row>
    <row r="734" spans="7:9" x14ac:dyDescent="0.3">
      <c r="G734" t="s">
        <v>1596</v>
      </c>
    </row>
    <row r="735" spans="7:9" x14ac:dyDescent="0.3">
      <c r="G735" t="s">
        <v>716</v>
      </c>
      <c r="H735" t="s">
        <v>36</v>
      </c>
      <c r="I735">
        <v>516407</v>
      </c>
    </row>
    <row r="736" spans="7:9" x14ac:dyDescent="0.3">
      <c r="H736" t="s">
        <v>1945</v>
      </c>
    </row>
    <row r="737" spans="7:9" x14ac:dyDescent="0.3">
      <c r="G737" t="s">
        <v>1597</v>
      </c>
    </row>
    <row r="738" spans="7:9" x14ac:dyDescent="0.3">
      <c r="G738" t="s">
        <v>1262</v>
      </c>
      <c r="H738" t="s">
        <v>27</v>
      </c>
      <c r="I738">
        <v>190433</v>
      </c>
    </row>
    <row r="739" spans="7:9" x14ac:dyDescent="0.3">
      <c r="H739" t="s">
        <v>1944</v>
      </c>
    </row>
    <row r="740" spans="7:9" x14ac:dyDescent="0.3">
      <c r="G740" t="s">
        <v>1598</v>
      </c>
    </row>
    <row r="741" spans="7:9" x14ac:dyDescent="0.3">
      <c r="G741" t="s">
        <v>309</v>
      </c>
      <c r="H741" t="s">
        <v>68</v>
      </c>
      <c r="I741">
        <v>198164</v>
      </c>
    </row>
    <row r="742" spans="7:9" x14ac:dyDescent="0.3">
      <c r="H742" t="s">
        <v>1948</v>
      </c>
    </row>
    <row r="743" spans="7:9" x14ac:dyDescent="0.3">
      <c r="G743" t="s">
        <v>1599</v>
      </c>
    </row>
    <row r="744" spans="7:9" x14ac:dyDescent="0.3">
      <c r="G744" t="s">
        <v>447</v>
      </c>
      <c r="H744" t="s">
        <v>54</v>
      </c>
      <c r="I744">
        <v>729331</v>
      </c>
    </row>
    <row r="745" spans="7:9" x14ac:dyDescent="0.3">
      <c r="H745" t="s">
        <v>1950</v>
      </c>
    </row>
    <row r="746" spans="7:9" x14ac:dyDescent="0.3">
      <c r="G746" t="s">
        <v>1600</v>
      </c>
    </row>
    <row r="747" spans="7:9" x14ac:dyDescent="0.3">
      <c r="G747" t="s">
        <v>942</v>
      </c>
      <c r="H747" t="s">
        <v>152</v>
      </c>
      <c r="I747">
        <v>705800</v>
      </c>
    </row>
    <row r="748" spans="7:9" x14ac:dyDescent="0.3">
      <c r="H748" t="s">
        <v>1946</v>
      </c>
    </row>
    <row r="749" spans="7:9" x14ac:dyDescent="0.3">
      <c r="G749" t="s">
        <v>1601</v>
      </c>
    </row>
    <row r="750" spans="7:9" x14ac:dyDescent="0.3">
      <c r="G750" t="s">
        <v>91</v>
      </c>
      <c r="H750" t="s">
        <v>68</v>
      </c>
      <c r="I750">
        <v>560869</v>
      </c>
    </row>
    <row r="751" spans="7:9" x14ac:dyDescent="0.3">
      <c r="H751" t="s">
        <v>1948</v>
      </c>
    </row>
    <row r="752" spans="7:9" x14ac:dyDescent="0.3">
      <c r="G752" t="s">
        <v>1602</v>
      </c>
    </row>
    <row r="753" spans="7:9" x14ac:dyDescent="0.3">
      <c r="G753" t="s">
        <v>974</v>
      </c>
      <c r="H753" t="s">
        <v>36</v>
      </c>
      <c r="I753">
        <v>749631</v>
      </c>
    </row>
    <row r="754" spans="7:9" x14ac:dyDescent="0.3">
      <c r="H754" t="s">
        <v>1945</v>
      </c>
    </row>
    <row r="755" spans="7:9" x14ac:dyDescent="0.3">
      <c r="G755" t="s">
        <v>1603</v>
      </c>
    </row>
    <row r="756" spans="7:9" x14ac:dyDescent="0.3">
      <c r="G756" t="s">
        <v>1116</v>
      </c>
      <c r="H756" t="s">
        <v>36</v>
      </c>
      <c r="I756">
        <v>87486</v>
      </c>
    </row>
    <row r="757" spans="7:9" x14ac:dyDescent="0.3">
      <c r="H757" t="s">
        <v>1945</v>
      </c>
    </row>
    <row r="758" spans="7:9" x14ac:dyDescent="0.3">
      <c r="G758" t="s">
        <v>1604</v>
      </c>
    </row>
    <row r="759" spans="7:9" x14ac:dyDescent="0.3">
      <c r="G759" t="s">
        <v>764</v>
      </c>
      <c r="H759" t="s">
        <v>123</v>
      </c>
      <c r="I759">
        <v>500197</v>
      </c>
    </row>
    <row r="760" spans="7:9" x14ac:dyDescent="0.3">
      <c r="H760" t="s">
        <v>1947</v>
      </c>
    </row>
    <row r="761" spans="7:9" x14ac:dyDescent="0.3">
      <c r="G761" t="s">
        <v>1605</v>
      </c>
    </row>
    <row r="762" spans="7:9" x14ac:dyDescent="0.3">
      <c r="G762" t="s">
        <v>846</v>
      </c>
      <c r="H762" t="s">
        <v>60</v>
      </c>
      <c r="I762">
        <v>842614</v>
      </c>
    </row>
    <row r="763" spans="7:9" x14ac:dyDescent="0.3">
      <c r="H763" t="s">
        <v>1949</v>
      </c>
    </row>
    <row r="764" spans="7:9" x14ac:dyDescent="0.3">
      <c r="G764" t="s">
        <v>1606</v>
      </c>
    </row>
    <row r="765" spans="7:9" x14ac:dyDescent="0.3">
      <c r="G765" t="s">
        <v>794</v>
      </c>
      <c r="H765" t="s">
        <v>123</v>
      </c>
      <c r="I765">
        <v>392594</v>
      </c>
    </row>
    <row r="766" spans="7:9" x14ac:dyDescent="0.3">
      <c r="H766" t="s">
        <v>1947</v>
      </c>
    </row>
    <row r="767" spans="7:9" x14ac:dyDescent="0.3">
      <c r="G767" t="s">
        <v>1607</v>
      </c>
    </row>
    <row r="768" spans="7:9" x14ac:dyDescent="0.3">
      <c r="G768" t="s">
        <v>459</v>
      </c>
      <c r="H768" t="s">
        <v>36</v>
      </c>
      <c r="I768">
        <v>765405</v>
      </c>
    </row>
    <row r="769" spans="7:9" x14ac:dyDescent="0.3">
      <c r="H769" t="s">
        <v>1945</v>
      </c>
    </row>
    <row r="770" spans="7:9" x14ac:dyDescent="0.3">
      <c r="G770" t="s">
        <v>1608</v>
      </c>
    </row>
    <row r="771" spans="7:9" x14ac:dyDescent="0.3">
      <c r="G771" t="s">
        <v>409</v>
      </c>
      <c r="H771" t="s">
        <v>60</v>
      </c>
      <c r="I771">
        <v>110293</v>
      </c>
    </row>
    <row r="772" spans="7:9" x14ac:dyDescent="0.3">
      <c r="H772" t="s">
        <v>1949</v>
      </c>
    </row>
    <row r="773" spans="7:9" x14ac:dyDescent="0.3">
      <c r="G773" t="s">
        <v>1609</v>
      </c>
    </row>
    <row r="774" spans="7:9" x14ac:dyDescent="0.3">
      <c r="G774" t="s">
        <v>189</v>
      </c>
      <c r="H774" t="s">
        <v>152</v>
      </c>
      <c r="I774">
        <v>237658</v>
      </c>
    </row>
    <row r="775" spans="7:9" x14ac:dyDescent="0.3">
      <c r="H775" t="s">
        <v>1946</v>
      </c>
    </row>
    <row r="776" spans="7:9" x14ac:dyDescent="0.3">
      <c r="G776" t="s">
        <v>1610</v>
      </c>
    </row>
    <row r="777" spans="7:9" x14ac:dyDescent="0.3">
      <c r="G777" t="s">
        <v>1164</v>
      </c>
      <c r="H777" t="s">
        <v>123</v>
      </c>
      <c r="I777">
        <v>294171</v>
      </c>
    </row>
    <row r="778" spans="7:9" x14ac:dyDescent="0.3">
      <c r="H778" t="s">
        <v>1947</v>
      </c>
    </row>
    <row r="779" spans="7:9" x14ac:dyDescent="0.3">
      <c r="G779" t="s">
        <v>1611</v>
      </c>
    </row>
    <row r="780" spans="7:9" x14ac:dyDescent="0.3">
      <c r="G780" t="s">
        <v>698</v>
      </c>
      <c r="H780" t="s">
        <v>27</v>
      </c>
      <c r="I780">
        <v>10951</v>
      </c>
    </row>
    <row r="781" spans="7:9" x14ac:dyDescent="0.3">
      <c r="H781" t="s">
        <v>1944</v>
      </c>
    </row>
    <row r="782" spans="7:9" x14ac:dyDescent="0.3">
      <c r="G782" t="s">
        <v>1612</v>
      </c>
    </row>
    <row r="783" spans="7:9" x14ac:dyDescent="0.3">
      <c r="G783" t="s">
        <v>194</v>
      </c>
      <c r="H783" t="s">
        <v>54</v>
      </c>
      <c r="I783">
        <v>664728</v>
      </c>
    </row>
    <row r="784" spans="7:9" x14ac:dyDescent="0.3">
      <c r="H784" t="s">
        <v>1950</v>
      </c>
    </row>
    <row r="785" spans="7:9" x14ac:dyDescent="0.3">
      <c r="G785" t="s">
        <v>1613</v>
      </c>
    </row>
    <row r="786" spans="7:9" x14ac:dyDescent="0.3">
      <c r="G786" t="s">
        <v>1196</v>
      </c>
      <c r="H786" t="s">
        <v>123</v>
      </c>
      <c r="I786">
        <v>862522</v>
      </c>
    </row>
    <row r="787" spans="7:9" x14ac:dyDescent="0.3">
      <c r="H787" t="s">
        <v>1947</v>
      </c>
    </row>
    <row r="788" spans="7:9" x14ac:dyDescent="0.3">
      <c r="G788" t="s">
        <v>1614</v>
      </c>
    </row>
    <row r="789" spans="7:9" x14ac:dyDescent="0.3">
      <c r="G789" t="s">
        <v>321</v>
      </c>
      <c r="H789" t="s">
        <v>54</v>
      </c>
      <c r="I789">
        <v>246336</v>
      </c>
    </row>
    <row r="790" spans="7:9" x14ac:dyDescent="0.3">
      <c r="H790" t="s">
        <v>1950</v>
      </c>
    </row>
    <row r="791" spans="7:9" x14ac:dyDescent="0.3">
      <c r="G791" t="s">
        <v>1615</v>
      </c>
    </row>
    <row r="792" spans="7:9" x14ac:dyDescent="0.3">
      <c r="G792" t="s">
        <v>1154</v>
      </c>
      <c r="H792" t="s">
        <v>68</v>
      </c>
      <c r="I792">
        <v>227022</v>
      </c>
    </row>
    <row r="793" spans="7:9" x14ac:dyDescent="0.3">
      <c r="H793" t="s">
        <v>1948</v>
      </c>
    </row>
    <row r="794" spans="7:9" x14ac:dyDescent="0.3">
      <c r="G794" t="s">
        <v>1616</v>
      </c>
    </row>
    <row r="795" spans="7:9" x14ac:dyDescent="0.3">
      <c r="G795" t="s">
        <v>230</v>
      </c>
      <c r="H795" t="s">
        <v>36</v>
      </c>
      <c r="I795">
        <v>309134</v>
      </c>
    </row>
    <row r="796" spans="7:9" x14ac:dyDescent="0.3">
      <c r="H796" t="s">
        <v>1945</v>
      </c>
    </row>
    <row r="797" spans="7:9" x14ac:dyDescent="0.3">
      <c r="G797" t="s">
        <v>1617</v>
      </c>
    </row>
    <row r="798" spans="7:9" x14ac:dyDescent="0.3">
      <c r="G798" t="s">
        <v>992</v>
      </c>
      <c r="H798" t="s">
        <v>36</v>
      </c>
      <c r="I798">
        <v>527014</v>
      </c>
    </row>
    <row r="799" spans="7:9" x14ac:dyDescent="0.3">
      <c r="H799" t="s">
        <v>1945</v>
      </c>
    </row>
    <row r="800" spans="7:9" x14ac:dyDescent="0.3">
      <c r="G800" t="s">
        <v>1618</v>
      </c>
    </row>
    <row r="801" spans="7:9" x14ac:dyDescent="0.3">
      <c r="G801" t="s">
        <v>1056</v>
      </c>
      <c r="H801" t="s">
        <v>152</v>
      </c>
      <c r="I801">
        <v>586053</v>
      </c>
    </row>
    <row r="802" spans="7:9" x14ac:dyDescent="0.3">
      <c r="H802" t="s">
        <v>1946</v>
      </c>
    </row>
    <row r="803" spans="7:9" x14ac:dyDescent="0.3">
      <c r="G803" t="s">
        <v>1619</v>
      </c>
    </row>
    <row r="804" spans="7:9" x14ac:dyDescent="0.3">
      <c r="G804" t="s">
        <v>341</v>
      </c>
      <c r="H804" t="s">
        <v>68</v>
      </c>
      <c r="I804">
        <v>747290</v>
      </c>
    </row>
    <row r="805" spans="7:9" x14ac:dyDescent="0.3">
      <c r="H805" t="s">
        <v>1948</v>
      </c>
    </row>
    <row r="806" spans="7:9" x14ac:dyDescent="0.3">
      <c r="G806" t="s">
        <v>1620</v>
      </c>
    </row>
    <row r="807" spans="7:9" x14ac:dyDescent="0.3">
      <c r="G807" t="s">
        <v>411</v>
      </c>
      <c r="H807" t="s">
        <v>152</v>
      </c>
      <c r="I807">
        <v>880903</v>
      </c>
    </row>
    <row r="808" spans="7:9" x14ac:dyDescent="0.3">
      <c r="H808" t="s">
        <v>1946</v>
      </c>
    </row>
    <row r="809" spans="7:9" x14ac:dyDescent="0.3">
      <c r="G809" t="s">
        <v>1621</v>
      </c>
    </row>
    <row r="810" spans="7:9" x14ac:dyDescent="0.3">
      <c r="G810" t="s">
        <v>80</v>
      </c>
      <c r="H810" t="s">
        <v>54</v>
      </c>
      <c r="I810">
        <v>275299</v>
      </c>
    </row>
    <row r="811" spans="7:9" x14ac:dyDescent="0.3">
      <c r="H811" t="s">
        <v>1950</v>
      </c>
    </row>
    <row r="812" spans="7:9" x14ac:dyDescent="0.3">
      <c r="G812" t="s">
        <v>1622</v>
      </c>
    </row>
    <row r="813" spans="7:9" x14ac:dyDescent="0.3">
      <c r="G813" t="s">
        <v>562</v>
      </c>
      <c r="H813" t="s">
        <v>27</v>
      </c>
      <c r="I813">
        <v>213198</v>
      </c>
    </row>
    <row r="814" spans="7:9" x14ac:dyDescent="0.3">
      <c r="H814" t="s">
        <v>1944</v>
      </c>
    </row>
    <row r="815" spans="7:9" x14ac:dyDescent="0.3">
      <c r="G815" t="s">
        <v>1623</v>
      </c>
    </row>
    <row r="816" spans="7:9" x14ac:dyDescent="0.3">
      <c r="G816" t="s">
        <v>129</v>
      </c>
      <c r="H816" t="s">
        <v>68</v>
      </c>
      <c r="I816">
        <v>679894</v>
      </c>
    </row>
    <row r="817" spans="7:9" x14ac:dyDescent="0.3">
      <c r="H817" t="s">
        <v>1948</v>
      </c>
    </row>
    <row r="818" spans="7:9" x14ac:dyDescent="0.3">
      <c r="G818" t="s">
        <v>1624</v>
      </c>
    </row>
    <row r="819" spans="7:9" x14ac:dyDescent="0.3">
      <c r="G819" t="s">
        <v>275</v>
      </c>
      <c r="H819" t="s">
        <v>60</v>
      </c>
      <c r="I819">
        <v>464098</v>
      </c>
    </row>
    <row r="820" spans="7:9" x14ac:dyDescent="0.3">
      <c r="H820" t="s">
        <v>1949</v>
      </c>
    </row>
    <row r="821" spans="7:9" x14ac:dyDescent="0.3">
      <c r="G821" t="s">
        <v>1625</v>
      </c>
    </row>
    <row r="822" spans="7:9" x14ac:dyDescent="0.3">
      <c r="G822" t="s">
        <v>279</v>
      </c>
      <c r="H822" t="s">
        <v>60</v>
      </c>
      <c r="I822">
        <v>713945</v>
      </c>
    </row>
    <row r="823" spans="7:9" x14ac:dyDescent="0.3">
      <c r="H823" t="s">
        <v>1949</v>
      </c>
    </row>
    <row r="824" spans="7:9" x14ac:dyDescent="0.3">
      <c r="G824" t="s">
        <v>1626</v>
      </c>
    </row>
    <row r="825" spans="7:9" x14ac:dyDescent="0.3">
      <c r="G825" t="s">
        <v>421</v>
      </c>
      <c r="H825" t="s">
        <v>54</v>
      </c>
      <c r="I825">
        <v>581941</v>
      </c>
    </row>
    <row r="826" spans="7:9" x14ac:dyDescent="0.3">
      <c r="H826" t="s">
        <v>1950</v>
      </c>
    </row>
    <row r="827" spans="7:9" x14ac:dyDescent="0.3">
      <c r="G827" t="s">
        <v>1627</v>
      </c>
    </row>
    <row r="828" spans="7:9" x14ac:dyDescent="0.3">
      <c r="G828" t="s">
        <v>242</v>
      </c>
      <c r="H828" t="s">
        <v>54</v>
      </c>
      <c r="I828">
        <v>570865</v>
      </c>
    </row>
    <row r="829" spans="7:9" x14ac:dyDescent="0.3">
      <c r="H829" t="s">
        <v>1950</v>
      </c>
    </row>
    <row r="830" spans="7:9" x14ac:dyDescent="0.3">
      <c r="G830" t="s">
        <v>1628</v>
      </c>
    </row>
    <row r="831" spans="7:9" x14ac:dyDescent="0.3">
      <c r="G831" t="s">
        <v>496</v>
      </c>
      <c r="H831" t="s">
        <v>54</v>
      </c>
      <c r="I831">
        <v>669307</v>
      </c>
    </row>
    <row r="832" spans="7:9" x14ac:dyDescent="0.3">
      <c r="H832" t="s">
        <v>1950</v>
      </c>
    </row>
    <row r="833" spans="7:9" x14ac:dyDescent="0.3">
      <c r="G833" t="s">
        <v>1629</v>
      </c>
    </row>
    <row r="834" spans="7:9" x14ac:dyDescent="0.3">
      <c r="G834" t="s">
        <v>534</v>
      </c>
      <c r="H834" t="s">
        <v>123</v>
      </c>
      <c r="I834">
        <v>329919</v>
      </c>
    </row>
    <row r="835" spans="7:9" x14ac:dyDescent="0.3">
      <c r="H835" t="s">
        <v>1947</v>
      </c>
    </row>
    <row r="836" spans="7:9" x14ac:dyDescent="0.3">
      <c r="G836" t="s">
        <v>1630</v>
      </c>
    </row>
    <row r="837" spans="7:9" x14ac:dyDescent="0.3">
      <c r="G837" t="s">
        <v>185</v>
      </c>
      <c r="H837" t="s">
        <v>27</v>
      </c>
      <c r="I837">
        <v>568450</v>
      </c>
    </row>
    <row r="838" spans="7:9" x14ac:dyDescent="0.3">
      <c r="H838" t="s">
        <v>1944</v>
      </c>
    </row>
    <row r="839" spans="7:9" x14ac:dyDescent="0.3">
      <c r="G839" t="s">
        <v>1631</v>
      </c>
    </row>
    <row r="840" spans="7:9" x14ac:dyDescent="0.3">
      <c r="G840" t="s">
        <v>700</v>
      </c>
      <c r="H840" t="s">
        <v>68</v>
      </c>
      <c r="I840">
        <v>887750</v>
      </c>
    </row>
    <row r="841" spans="7:9" x14ac:dyDescent="0.3">
      <c r="H841" t="s">
        <v>1948</v>
      </c>
    </row>
    <row r="842" spans="7:9" x14ac:dyDescent="0.3">
      <c r="G842" t="s">
        <v>1632</v>
      </c>
    </row>
    <row r="843" spans="7:9" x14ac:dyDescent="0.3">
      <c r="G843" t="s">
        <v>295</v>
      </c>
      <c r="H843" t="s">
        <v>123</v>
      </c>
      <c r="I843">
        <v>654912</v>
      </c>
    </row>
    <row r="844" spans="7:9" x14ac:dyDescent="0.3">
      <c r="H844" t="s">
        <v>1947</v>
      </c>
    </row>
    <row r="845" spans="7:9" x14ac:dyDescent="0.3">
      <c r="G845" t="s">
        <v>1633</v>
      </c>
    </row>
    <row r="846" spans="7:9" x14ac:dyDescent="0.3">
      <c r="G846" t="s">
        <v>1068</v>
      </c>
      <c r="H846" t="s">
        <v>60</v>
      </c>
      <c r="I846">
        <v>836541</v>
      </c>
    </row>
    <row r="847" spans="7:9" x14ac:dyDescent="0.3">
      <c r="H847" t="s">
        <v>1949</v>
      </c>
    </row>
    <row r="848" spans="7:9" x14ac:dyDescent="0.3">
      <c r="G848" t="s">
        <v>1634</v>
      </c>
    </row>
    <row r="849" spans="7:9" x14ac:dyDescent="0.3">
      <c r="G849" t="s">
        <v>882</v>
      </c>
      <c r="H849" t="s">
        <v>68</v>
      </c>
      <c r="I849">
        <v>436486</v>
      </c>
    </row>
    <row r="850" spans="7:9" x14ac:dyDescent="0.3">
      <c r="H850" t="s">
        <v>1948</v>
      </c>
    </row>
    <row r="851" spans="7:9" x14ac:dyDescent="0.3">
      <c r="G851" t="s">
        <v>1635</v>
      </c>
    </row>
    <row r="852" spans="7:9" x14ac:dyDescent="0.3">
      <c r="G852" t="s">
        <v>317</v>
      </c>
      <c r="H852" t="s">
        <v>68</v>
      </c>
      <c r="I852">
        <v>871717</v>
      </c>
    </row>
    <row r="853" spans="7:9" x14ac:dyDescent="0.3">
      <c r="H853" t="s">
        <v>1948</v>
      </c>
    </row>
    <row r="854" spans="7:9" x14ac:dyDescent="0.3">
      <c r="G854" t="s">
        <v>1636</v>
      </c>
    </row>
    <row r="855" spans="7:9" x14ac:dyDescent="0.3">
      <c r="G855" t="s">
        <v>610</v>
      </c>
      <c r="H855" t="s">
        <v>27</v>
      </c>
      <c r="I855">
        <v>299184</v>
      </c>
    </row>
    <row r="856" spans="7:9" x14ac:dyDescent="0.3">
      <c r="H856" t="s">
        <v>1944</v>
      </c>
    </row>
    <row r="857" spans="7:9" x14ac:dyDescent="0.3">
      <c r="G857" t="s">
        <v>1637</v>
      </c>
    </row>
    <row r="858" spans="7:9" x14ac:dyDescent="0.3">
      <c r="G858" t="s">
        <v>1128</v>
      </c>
      <c r="H858" t="s">
        <v>68</v>
      </c>
      <c r="I858">
        <v>855579</v>
      </c>
    </row>
    <row r="859" spans="7:9" x14ac:dyDescent="0.3">
      <c r="H859" t="s">
        <v>1948</v>
      </c>
    </row>
    <row r="860" spans="7:9" x14ac:dyDescent="0.3">
      <c r="G860" t="s">
        <v>1638</v>
      </c>
    </row>
    <row r="861" spans="7:9" x14ac:dyDescent="0.3">
      <c r="G861" t="s">
        <v>445</v>
      </c>
      <c r="H861" t="s">
        <v>123</v>
      </c>
      <c r="I861">
        <v>728156</v>
      </c>
    </row>
    <row r="862" spans="7:9" x14ac:dyDescent="0.3">
      <c r="H862" t="s">
        <v>1947</v>
      </c>
    </row>
    <row r="863" spans="7:9" x14ac:dyDescent="0.3">
      <c r="G863" t="s">
        <v>1639</v>
      </c>
    </row>
    <row r="864" spans="7:9" x14ac:dyDescent="0.3">
      <c r="G864" t="s">
        <v>574</v>
      </c>
      <c r="H864" t="s">
        <v>36</v>
      </c>
      <c r="I864">
        <v>803248</v>
      </c>
    </row>
    <row r="865" spans="7:9" x14ac:dyDescent="0.3">
      <c r="H865" t="s">
        <v>1945</v>
      </c>
    </row>
    <row r="866" spans="7:9" x14ac:dyDescent="0.3">
      <c r="G866" t="s">
        <v>1640</v>
      </c>
    </row>
    <row r="867" spans="7:9" x14ac:dyDescent="0.3">
      <c r="G867" t="s">
        <v>934</v>
      </c>
      <c r="H867" t="s">
        <v>60</v>
      </c>
      <c r="I867">
        <v>885322</v>
      </c>
    </row>
    <row r="868" spans="7:9" x14ac:dyDescent="0.3">
      <c r="H868" t="s">
        <v>1949</v>
      </c>
    </row>
    <row r="869" spans="7:9" x14ac:dyDescent="0.3">
      <c r="G869" t="s">
        <v>1641</v>
      </c>
    </row>
    <row r="870" spans="7:9" x14ac:dyDescent="0.3">
      <c r="G870" t="s">
        <v>770</v>
      </c>
      <c r="H870" t="s">
        <v>68</v>
      </c>
      <c r="I870">
        <v>219179</v>
      </c>
    </row>
    <row r="871" spans="7:9" x14ac:dyDescent="0.3">
      <c r="H871" t="s">
        <v>1948</v>
      </c>
    </row>
    <row r="872" spans="7:9" x14ac:dyDescent="0.3">
      <c r="G872" t="s">
        <v>1642</v>
      </c>
    </row>
    <row r="873" spans="7:9" x14ac:dyDescent="0.3">
      <c r="G873" t="s">
        <v>240</v>
      </c>
      <c r="H873" t="s">
        <v>123</v>
      </c>
      <c r="I873">
        <v>904881</v>
      </c>
    </row>
    <row r="874" spans="7:9" x14ac:dyDescent="0.3">
      <c r="H874" t="s">
        <v>1947</v>
      </c>
    </row>
    <row r="875" spans="7:9" x14ac:dyDescent="0.3">
      <c r="G875" t="s">
        <v>1643</v>
      </c>
    </row>
    <row r="876" spans="7:9" x14ac:dyDescent="0.3">
      <c r="G876" t="s">
        <v>972</v>
      </c>
      <c r="H876" t="s">
        <v>152</v>
      </c>
      <c r="I876">
        <v>269703</v>
      </c>
    </row>
    <row r="877" spans="7:9" x14ac:dyDescent="0.3">
      <c r="H877" t="s">
        <v>1946</v>
      </c>
    </row>
    <row r="878" spans="7:9" x14ac:dyDescent="0.3">
      <c r="G878" t="s">
        <v>1644</v>
      </c>
    </row>
    <row r="879" spans="7:9" x14ac:dyDescent="0.3">
      <c r="G879" t="s">
        <v>568</v>
      </c>
      <c r="H879" t="s">
        <v>123</v>
      </c>
      <c r="I879">
        <v>314535</v>
      </c>
    </row>
    <row r="880" spans="7:9" x14ac:dyDescent="0.3">
      <c r="H880" t="s">
        <v>1947</v>
      </c>
    </row>
    <row r="881" spans="7:9" x14ac:dyDescent="0.3">
      <c r="G881" t="s">
        <v>1645</v>
      </c>
    </row>
    <row r="882" spans="7:9" x14ac:dyDescent="0.3">
      <c r="G882" t="s">
        <v>174</v>
      </c>
      <c r="H882" t="s">
        <v>27</v>
      </c>
      <c r="I882">
        <v>408688</v>
      </c>
    </row>
    <row r="883" spans="7:9" x14ac:dyDescent="0.3">
      <c r="H883" t="s">
        <v>1944</v>
      </c>
    </row>
    <row r="884" spans="7:9" x14ac:dyDescent="0.3">
      <c r="G884" t="s">
        <v>1646</v>
      </c>
    </row>
    <row r="885" spans="7:9" x14ac:dyDescent="0.3">
      <c r="G885" t="s">
        <v>333</v>
      </c>
      <c r="H885" t="s">
        <v>152</v>
      </c>
      <c r="I885">
        <v>604527</v>
      </c>
    </row>
    <row r="886" spans="7:9" x14ac:dyDescent="0.3">
      <c r="H886" t="s">
        <v>1946</v>
      </c>
    </row>
    <row r="887" spans="7:9" x14ac:dyDescent="0.3">
      <c r="G887" t="s">
        <v>1647</v>
      </c>
    </row>
    <row r="888" spans="7:9" x14ac:dyDescent="0.3">
      <c r="G888" t="s">
        <v>289</v>
      </c>
      <c r="H888" t="s">
        <v>60</v>
      </c>
      <c r="I888">
        <v>422979</v>
      </c>
    </row>
    <row r="889" spans="7:9" x14ac:dyDescent="0.3">
      <c r="H889" t="s">
        <v>1949</v>
      </c>
    </row>
    <row r="890" spans="7:9" x14ac:dyDescent="0.3">
      <c r="G890" t="s">
        <v>1648</v>
      </c>
    </row>
    <row r="891" spans="7:9" x14ac:dyDescent="0.3">
      <c r="G891" t="s">
        <v>1018</v>
      </c>
      <c r="H891" t="s">
        <v>27</v>
      </c>
      <c r="I891">
        <v>908655</v>
      </c>
    </row>
    <row r="892" spans="7:9" x14ac:dyDescent="0.3">
      <c r="H892" t="s">
        <v>1944</v>
      </c>
    </row>
    <row r="893" spans="7:9" x14ac:dyDescent="0.3">
      <c r="G893" t="s">
        <v>1649</v>
      </c>
    </row>
    <row r="894" spans="7:9" x14ac:dyDescent="0.3">
      <c r="G894" t="s">
        <v>471</v>
      </c>
      <c r="H894" t="s">
        <v>152</v>
      </c>
      <c r="I894">
        <v>531099</v>
      </c>
    </row>
    <row r="895" spans="7:9" x14ac:dyDescent="0.3">
      <c r="H895" t="s">
        <v>1946</v>
      </c>
    </row>
    <row r="896" spans="7:9" x14ac:dyDescent="0.3">
      <c r="G896" t="s">
        <v>1650</v>
      </c>
    </row>
    <row r="897" spans="7:9" x14ac:dyDescent="0.3">
      <c r="G897" t="s">
        <v>898</v>
      </c>
      <c r="H897" t="s">
        <v>36</v>
      </c>
      <c r="I897">
        <v>10860</v>
      </c>
    </row>
    <row r="898" spans="7:9" x14ac:dyDescent="0.3">
      <c r="H898" t="s">
        <v>1945</v>
      </c>
    </row>
    <row r="899" spans="7:9" x14ac:dyDescent="0.3">
      <c r="G899" t="s">
        <v>1651</v>
      </c>
    </row>
    <row r="900" spans="7:9" x14ac:dyDescent="0.3">
      <c r="G900" t="s">
        <v>766</v>
      </c>
      <c r="H900" t="s">
        <v>60</v>
      </c>
      <c r="I900">
        <v>792445</v>
      </c>
    </row>
    <row r="901" spans="7:9" x14ac:dyDescent="0.3">
      <c r="H901" t="s">
        <v>1949</v>
      </c>
    </row>
    <row r="902" spans="7:9" x14ac:dyDescent="0.3">
      <c r="G902" t="s">
        <v>1652</v>
      </c>
    </row>
    <row r="903" spans="7:9" x14ac:dyDescent="0.3">
      <c r="G903" t="s">
        <v>1052</v>
      </c>
      <c r="H903" t="s">
        <v>54</v>
      </c>
      <c r="I903">
        <v>646719</v>
      </c>
    </row>
    <row r="904" spans="7:9" x14ac:dyDescent="0.3">
      <c r="H904" t="s">
        <v>1950</v>
      </c>
    </row>
    <row r="905" spans="7:9" x14ac:dyDescent="0.3">
      <c r="G905" t="s">
        <v>1653</v>
      </c>
    </row>
    <row r="906" spans="7:9" x14ac:dyDescent="0.3">
      <c r="G906" t="s">
        <v>588</v>
      </c>
      <c r="H906" t="s">
        <v>27</v>
      </c>
      <c r="I906">
        <v>608584</v>
      </c>
    </row>
    <row r="907" spans="7:9" x14ac:dyDescent="0.3">
      <c r="H907" t="s">
        <v>1944</v>
      </c>
    </row>
    <row r="908" spans="7:9" x14ac:dyDescent="0.3">
      <c r="G908" t="s">
        <v>1654</v>
      </c>
    </row>
    <row r="909" spans="7:9" x14ac:dyDescent="0.3">
      <c r="G909" t="s">
        <v>1250</v>
      </c>
      <c r="H909" t="s">
        <v>123</v>
      </c>
      <c r="I909">
        <v>668282</v>
      </c>
    </row>
    <row r="910" spans="7:9" x14ac:dyDescent="0.3">
      <c r="H910" t="s">
        <v>1947</v>
      </c>
    </row>
    <row r="911" spans="7:9" x14ac:dyDescent="0.3">
      <c r="G911" t="s">
        <v>1655</v>
      </c>
    </row>
    <row r="912" spans="7:9" x14ac:dyDescent="0.3">
      <c r="G912" t="s">
        <v>150</v>
      </c>
      <c r="H912" t="s">
        <v>152</v>
      </c>
      <c r="I912">
        <v>190230</v>
      </c>
    </row>
    <row r="913" spans="7:9" x14ac:dyDescent="0.3">
      <c r="H913" t="s">
        <v>1946</v>
      </c>
    </row>
    <row r="914" spans="7:9" x14ac:dyDescent="0.3">
      <c r="G914" t="s">
        <v>1656</v>
      </c>
    </row>
    <row r="915" spans="7:9" x14ac:dyDescent="0.3">
      <c r="G915" t="s">
        <v>1062</v>
      </c>
      <c r="H915" t="s">
        <v>123</v>
      </c>
      <c r="I915">
        <v>117135</v>
      </c>
    </row>
    <row r="916" spans="7:9" x14ac:dyDescent="0.3">
      <c r="H916" t="s">
        <v>1947</v>
      </c>
    </row>
    <row r="917" spans="7:9" x14ac:dyDescent="0.3">
      <c r="G917" t="s">
        <v>1657</v>
      </c>
    </row>
    <row r="918" spans="7:9" x14ac:dyDescent="0.3">
      <c r="G918" t="s">
        <v>1206</v>
      </c>
      <c r="H918" t="s">
        <v>27</v>
      </c>
      <c r="I918">
        <v>402374</v>
      </c>
    </row>
    <row r="919" spans="7:9" x14ac:dyDescent="0.3">
      <c r="H919" t="s">
        <v>1944</v>
      </c>
    </row>
    <row r="920" spans="7:9" x14ac:dyDescent="0.3">
      <c r="G920" t="s">
        <v>1658</v>
      </c>
    </row>
    <row r="921" spans="7:9" x14ac:dyDescent="0.3">
      <c r="G921" t="s">
        <v>1310</v>
      </c>
      <c r="H921" t="s">
        <v>54</v>
      </c>
      <c r="I921">
        <v>557511</v>
      </c>
    </row>
    <row r="922" spans="7:9" x14ac:dyDescent="0.3">
      <c r="H922" t="s">
        <v>1950</v>
      </c>
    </row>
    <row r="923" spans="7:9" x14ac:dyDescent="0.3">
      <c r="G923" t="s">
        <v>1659</v>
      </c>
    </row>
    <row r="924" spans="7:9" x14ac:dyDescent="0.3">
      <c r="G924" t="s">
        <v>832</v>
      </c>
      <c r="H924" t="s">
        <v>36</v>
      </c>
      <c r="I924">
        <v>592373</v>
      </c>
    </row>
    <row r="925" spans="7:9" x14ac:dyDescent="0.3">
      <c r="H925" t="s">
        <v>1945</v>
      </c>
    </row>
    <row r="926" spans="7:9" x14ac:dyDescent="0.3">
      <c r="G926" t="s">
        <v>1660</v>
      </c>
    </row>
    <row r="927" spans="7:9" x14ac:dyDescent="0.3">
      <c r="G927" t="s">
        <v>808</v>
      </c>
      <c r="H927" t="s">
        <v>27</v>
      </c>
      <c r="I927">
        <v>98674</v>
      </c>
    </row>
    <row r="928" spans="7:9" x14ac:dyDescent="0.3">
      <c r="H928" t="s">
        <v>1944</v>
      </c>
    </row>
    <row r="929" spans="7:9" x14ac:dyDescent="0.3">
      <c r="G929" t="s">
        <v>1661</v>
      </c>
    </row>
    <row r="930" spans="7:9" x14ac:dyDescent="0.3">
      <c r="G930" t="s">
        <v>1264</v>
      </c>
      <c r="H930" t="s">
        <v>123</v>
      </c>
      <c r="I930">
        <v>299716</v>
      </c>
    </row>
    <row r="931" spans="7:9" x14ac:dyDescent="0.3">
      <c r="H931" t="s">
        <v>1947</v>
      </c>
    </row>
    <row r="932" spans="7:9" x14ac:dyDescent="0.3">
      <c r="G932" t="s">
        <v>1662</v>
      </c>
    </row>
    <row r="933" spans="7:9" x14ac:dyDescent="0.3">
      <c r="G933" t="s">
        <v>950</v>
      </c>
      <c r="H933" t="s">
        <v>68</v>
      </c>
      <c r="I933">
        <v>449912</v>
      </c>
    </row>
    <row r="934" spans="7:9" x14ac:dyDescent="0.3">
      <c r="H934" t="s">
        <v>1948</v>
      </c>
    </row>
    <row r="935" spans="7:9" x14ac:dyDescent="0.3">
      <c r="G935" t="s">
        <v>1663</v>
      </c>
    </row>
    <row r="936" spans="7:9" x14ac:dyDescent="0.3">
      <c r="G936" t="s">
        <v>1132</v>
      </c>
      <c r="H936" t="s">
        <v>152</v>
      </c>
      <c r="I936">
        <v>935915</v>
      </c>
    </row>
    <row r="937" spans="7:9" x14ac:dyDescent="0.3">
      <c r="H937" t="s">
        <v>1946</v>
      </c>
    </row>
    <row r="938" spans="7:9" x14ac:dyDescent="0.3">
      <c r="G938" t="s">
        <v>1664</v>
      </c>
    </row>
    <row r="939" spans="7:9" x14ac:dyDescent="0.3">
      <c r="G939" t="s">
        <v>293</v>
      </c>
      <c r="H939" t="s">
        <v>54</v>
      </c>
      <c r="I939">
        <v>290888</v>
      </c>
    </row>
    <row r="940" spans="7:9" x14ac:dyDescent="0.3">
      <c r="H940" t="s">
        <v>1950</v>
      </c>
    </row>
    <row r="941" spans="7:9" x14ac:dyDescent="0.3">
      <c r="G941" t="s">
        <v>1665</v>
      </c>
    </row>
    <row r="942" spans="7:9" x14ac:dyDescent="0.3">
      <c r="G942" t="s">
        <v>345</v>
      </c>
      <c r="H942" t="s">
        <v>152</v>
      </c>
      <c r="I942">
        <v>708224</v>
      </c>
    </row>
    <row r="943" spans="7:9" x14ac:dyDescent="0.3">
      <c r="H943" t="s">
        <v>1946</v>
      </c>
    </row>
    <row r="944" spans="7:9" x14ac:dyDescent="0.3">
      <c r="G944" t="s">
        <v>1666</v>
      </c>
    </row>
    <row r="945" spans="7:9" x14ac:dyDescent="0.3">
      <c r="G945" t="s">
        <v>532</v>
      </c>
      <c r="H945" t="s">
        <v>152</v>
      </c>
      <c r="I945">
        <v>922952</v>
      </c>
    </row>
    <row r="946" spans="7:9" x14ac:dyDescent="0.3">
      <c r="H946" t="s">
        <v>1946</v>
      </c>
    </row>
    <row r="947" spans="7:9" x14ac:dyDescent="0.3">
      <c r="G947" t="s">
        <v>1667</v>
      </c>
    </row>
    <row r="948" spans="7:9" x14ac:dyDescent="0.3">
      <c r="G948" t="s">
        <v>552</v>
      </c>
      <c r="H948" t="s">
        <v>54</v>
      </c>
      <c r="I948">
        <v>2987</v>
      </c>
    </row>
    <row r="949" spans="7:9" x14ac:dyDescent="0.3">
      <c r="H949" t="s">
        <v>1950</v>
      </c>
    </row>
    <row r="950" spans="7:9" x14ac:dyDescent="0.3">
      <c r="G950" t="s">
        <v>1668</v>
      </c>
    </row>
    <row r="951" spans="7:9" x14ac:dyDescent="0.3">
      <c r="G951" t="s">
        <v>800</v>
      </c>
      <c r="H951" t="s">
        <v>152</v>
      </c>
      <c r="I951">
        <v>709241</v>
      </c>
    </row>
    <row r="952" spans="7:9" x14ac:dyDescent="0.3">
      <c r="H952" t="s">
        <v>1946</v>
      </c>
    </row>
    <row r="953" spans="7:9" x14ac:dyDescent="0.3">
      <c r="G953" t="s">
        <v>1669</v>
      </c>
    </row>
    <row r="954" spans="7:9" x14ac:dyDescent="0.3">
      <c r="G954" t="s">
        <v>433</v>
      </c>
      <c r="H954" t="s">
        <v>36</v>
      </c>
      <c r="I954">
        <v>831081</v>
      </c>
    </row>
    <row r="955" spans="7:9" x14ac:dyDescent="0.3">
      <c r="H955" t="s">
        <v>1945</v>
      </c>
    </row>
    <row r="956" spans="7:9" x14ac:dyDescent="0.3">
      <c r="G956" t="s">
        <v>1670</v>
      </c>
    </row>
    <row r="957" spans="7:9" x14ac:dyDescent="0.3">
      <c r="G957" t="s">
        <v>1092</v>
      </c>
      <c r="H957" t="s">
        <v>60</v>
      </c>
      <c r="I957">
        <v>572658</v>
      </c>
    </row>
    <row r="958" spans="7:9" x14ac:dyDescent="0.3">
      <c r="H958" t="s">
        <v>1949</v>
      </c>
    </row>
    <row r="959" spans="7:9" x14ac:dyDescent="0.3">
      <c r="G959" t="s">
        <v>1671</v>
      </c>
    </row>
    <row r="960" spans="7:9" x14ac:dyDescent="0.3">
      <c r="G960" t="s">
        <v>990</v>
      </c>
      <c r="H960" t="s">
        <v>68</v>
      </c>
      <c r="I960">
        <v>351705</v>
      </c>
    </row>
    <row r="961" spans="7:9" x14ac:dyDescent="0.3">
      <c r="H961" t="s">
        <v>1948</v>
      </c>
    </row>
    <row r="962" spans="7:9" x14ac:dyDescent="0.3">
      <c r="G962" t="s">
        <v>1672</v>
      </c>
    </row>
    <row r="963" spans="7:9" x14ac:dyDescent="0.3">
      <c r="G963" t="s">
        <v>910</v>
      </c>
      <c r="H963" t="s">
        <v>152</v>
      </c>
      <c r="I963">
        <v>782832</v>
      </c>
    </row>
    <row r="964" spans="7:9" x14ac:dyDescent="0.3">
      <c r="H964" t="s">
        <v>1946</v>
      </c>
    </row>
    <row r="965" spans="7:9" x14ac:dyDescent="0.3">
      <c r="G965" t="s">
        <v>1673</v>
      </c>
    </row>
    <row r="966" spans="7:9" x14ac:dyDescent="0.3">
      <c r="G966" t="s">
        <v>604</v>
      </c>
      <c r="H966" t="s">
        <v>36</v>
      </c>
      <c r="I966">
        <v>402477</v>
      </c>
    </row>
    <row r="967" spans="7:9" x14ac:dyDescent="0.3">
      <c r="H967" t="s">
        <v>1945</v>
      </c>
    </row>
    <row r="968" spans="7:9" x14ac:dyDescent="0.3">
      <c r="G968" t="s">
        <v>1674</v>
      </c>
    </row>
    <row r="969" spans="7:9" x14ac:dyDescent="0.3">
      <c r="G969" t="s">
        <v>1076</v>
      </c>
      <c r="H969" t="s">
        <v>60</v>
      </c>
      <c r="I969">
        <v>710891</v>
      </c>
    </row>
    <row r="970" spans="7:9" x14ac:dyDescent="0.3">
      <c r="H970" t="s">
        <v>1949</v>
      </c>
    </row>
    <row r="971" spans="7:9" x14ac:dyDescent="0.3">
      <c r="G971" t="s">
        <v>1675</v>
      </c>
    </row>
    <row r="972" spans="7:9" x14ac:dyDescent="0.3">
      <c r="G972" t="s">
        <v>782</v>
      </c>
      <c r="H972" t="s">
        <v>60</v>
      </c>
      <c r="I972">
        <v>607821</v>
      </c>
    </row>
    <row r="973" spans="7:9" x14ac:dyDescent="0.3">
      <c r="H973" t="s">
        <v>1949</v>
      </c>
    </row>
    <row r="974" spans="7:9" x14ac:dyDescent="0.3">
      <c r="G974" t="s">
        <v>1676</v>
      </c>
    </row>
    <row r="975" spans="7:9" x14ac:dyDescent="0.3">
      <c r="G975" t="s">
        <v>1042</v>
      </c>
      <c r="H975" t="s">
        <v>123</v>
      </c>
      <c r="I975">
        <v>770095</v>
      </c>
    </row>
    <row r="976" spans="7:9" x14ac:dyDescent="0.3">
      <c r="H976" t="s">
        <v>1947</v>
      </c>
    </row>
    <row r="977" spans="7:9" x14ac:dyDescent="0.3">
      <c r="G977" t="s">
        <v>1677</v>
      </c>
    </row>
    <row r="978" spans="7:9" x14ac:dyDescent="0.3">
      <c r="G978" t="s">
        <v>708</v>
      </c>
      <c r="H978" t="s">
        <v>54</v>
      </c>
      <c r="I978">
        <v>403033</v>
      </c>
    </row>
    <row r="979" spans="7:9" x14ac:dyDescent="0.3">
      <c r="H979" t="s">
        <v>1950</v>
      </c>
    </row>
    <row r="980" spans="7:9" x14ac:dyDescent="0.3">
      <c r="G980" t="s">
        <v>1678</v>
      </c>
    </row>
    <row r="981" spans="7:9" x14ac:dyDescent="0.3">
      <c r="G981" t="s">
        <v>578</v>
      </c>
      <c r="H981" t="s">
        <v>27</v>
      </c>
      <c r="I981">
        <v>57905</v>
      </c>
    </row>
    <row r="982" spans="7:9" x14ac:dyDescent="0.3">
      <c r="H982" t="s">
        <v>1944</v>
      </c>
    </row>
    <row r="983" spans="7:9" x14ac:dyDescent="0.3">
      <c r="G983" t="s">
        <v>1679</v>
      </c>
    </row>
    <row r="984" spans="7:9" x14ac:dyDescent="0.3">
      <c r="G984" t="s">
        <v>1050</v>
      </c>
      <c r="H984" t="s">
        <v>68</v>
      </c>
      <c r="I984">
        <v>247698</v>
      </c>
    </row>
    <row r="985" spans="7:9" x14ac:dyDescent="0.3">
      <c r="H985" t="s">
        <v>1948</v>
      </c>
    </row>
    <row r="986" spans="7:9" x14ac:dyDescent="0.3">
      <c r="G986" t="s">
        <v>1680</v>
      </c>
    </row>
    <row r="987" spans="7:9" x14ac:dyDescent="0.3">
      <c r="G987" t="s">
        <v>1276</v>
      </c>
      <c r="H987" t="s">
        <v>68</v>
      </c>
      <c r="I987">
        <v>57974</v>
      </c>
    </row>
    <row r="988" spans="7:9" x14ac:dyDescent="0.3">
      <c r="H988" t="s">
        <v>1948</v>
      </c>
    </row>
    <row r="989" spans="7:9" x14ac:dyDescent="0.3">
      <c r="G989" t="s">
        <v>1681</v>
      </c>
    </row>
    <row r="990" spans="7:9" x14ac:dyDescent="0.3">
      <c r="G990" t="s">
        <v>267</v>
      </c>
      <c r="H990" t="s">
        <v>123</v>
      </c>
      <c r="I990">
        <v>48845</v>
      </c>
    </row>
    <row r="991" spans="7:9" x14ac:dyDescent="0.3">
      <c r="H991" t="s">
        <v>1947</v>
      </c>
    </row>
    <row r="992" spans="7:9" x14ac:dyDescent="0.3">
      <c r="G992" t="s">
        <v>1682</v>
      </c>
    </row>
    <row r="993" spans="7:9" x14ac:dyDescent="0.3">
      <c r="G993" t="s">
        <v>1212</v>
      </c>
      <c r="H993" t="s">
        <v>68</v>
      </c>
      <c r="I993">
        <v>357499</v>
      </c>
    </row>
    <row r="994" spans="7:9" x14ac:dyDescent="0.3">
      <c r="H994" t="s">
        <v>1948</v>
      </c>
    </row>
    <row r="995" spans="7:9" x14ac:dyDescent="0.3">
      <c r="G995" t="s">
        <v>1683</v>
      </c>
    </row>
    <row r="996" spans="7:9" x14ac:dyDescent="0.3">
      <c r="G996" t="s">
        <v>453</v>
      </c>
      <c r="H996" t="s">
        <v>68</v>
      </c>
      <c r="I996">
        <v>740608</v>
      </c>
    </row>
    <row r="997" spans="7:9" x14ac:dyDescent="0.3">
      <c r="H997" t="s">
        <v>1948</v>
      </c>
    </row>
    <row r="998" spans="7:9" x14ac:dyDescent="0.3">
      <c r="G998" t="s">
        <v>1684</v>
      </c>
    </row>
    <row r="999" spans="7:9" x14ac:dyDescent="0.3">
      <c r="G999" t="s">
        <v>956</v>
      </c>
      <c r="H999" t="s">
        <v>123</v>
      </c>
      <c r="I999">
        <v>549210</v>
      </c>
    </row>
    <row r="1000" spans="7:9" x14ac:dyDescent="0.3">
      <c r="H1000" t="s">
        <v>1947</v>
      </c>
    </row>
    <row r="1001" spans="7:9" x14ac:dyDescent="0.3">
      <c r="G1001" t="s">
        <v>1685</v>
      </c>
    </row>
    <row r="1002" spans="7:9" x14ac:dyDescent="0.3">
      <c r="G1002" t="s">
        <v>477</v>
      </c>
      <c r="H1002" t="s">
        <v>36</v>
      </c>
      <c r="I1002">
        <v>40357</v>
      </c>
    </row>
    <row r="1003" spans="7:9" x14ac:dyDescent="0.3">
      <c r="H1003" t="s">
        <v>1945</v>
      </c>
    </row>
    <row r="1004" spans="7:9" x14ac:dyDescent="0.3">
      <c r="G1004" t="s">
        <v>1686</v>
      </c>
    </row>
    <row r="1005" spans="7:9" x14ac:dyDescent="0.3">
      <c r="G1005" t="s">
        <v>103</v>
      </c>
      <c r="H1005" t="s">
        <v>68</v>
      </c>
      <c r="I1005">
        <v>495112</v>
      </c>
    </row>
    <row r="1006" spans="7:9" x14ac:dyDescent="0.3">
      <c r="H1006" t="s">
        <v>1948</v>
      </c>
    </row>
    <row r="1007" spans="7:9" x14ac:dyDescent="0.3">
      <c r="G1007" t="s">
        <v>1687</v>
      </c>
    </row>
    <row r="1008" spans="7:9" x14ac:dyDescent="0.3">
      <c r="G1008" t="s">
        <v>564</v>
      </c>
      <c r="H1008" t="s">
        <v>60</v>
      </c>
      <c r="I1008">
        <v>315722</v>
      </c>
    </row>
    <row r="1009" spans="7:9" x14ac:dyDescent="0.3">
      <c r="H1009" t="s">
        <v>1949</v>
      </c>
    </row>
    <row r="1010" spans="7:9" x14ac:dyDescent="0.3">
      <c r="G1010" t="s">
        <v>1688</v>
      </c>
    </row>
    <row r="1011" spans="7:9" x14ac:dyDescent="0.3">
      <c r="G1011" t="s">
        <v>1130</v>
      </c>
      <c r="H1011" t="s">
        <v>152</v>
      </c>
      <c r="I1011">
        <v>424631</v>
      </c>
    </row>
    <row r="1012" spans="7:9" x14ac:dyDescent="0.3">
      <c r="H1012" t="s">
        <v>1946</v>
      </c>
    </row>
    <row r="1013" spans="7:9" x14ac:dyDescent="0.3">
      <c r="G1013" t="s">
        <v>1689</v>
      </c>
    </row>
    <row r="1014" spans="7:9" x14ac:dyDescent="0.3">
      <c r="G1014" t="s">
        <v>486</v>
      </c>
      <c r="H1014" t="s">
        <v>54</v>
      </c>
      <c r="I1014">
        <v>146995</v>
      </c>
    </row>
    <row r="1015" spans="7:9" x14ac:dyDescent="0.3">
      <c r="H1015" t="s">
        <v>1950</v>
      </c>
    </row>
    <row r="1016" spans="7:9" x14ac:dyDescent="0.3">
      <c r="G1016" t="s">
        <v>1690</v>
      </c>
    </row>
    <row r="1017" spans="7:9" x14ac:dyDescent="0.3">
      <c r="G1017" t="s">
        <v>830</v>
      </c>
      <c r="H1017" t="s">
        <v>123</v>
      </c>
      <c r="I1017">
        <v>481219</v>
      </c>
    </row>
    <row r="1018" spans="7:9" x14ac:dyDescent="0.3">
      <c r="H1018" t="s">
        <v>1947</v>
      </c>
    </row>
    <row r="1019" spans="7:9" x14ac:dyDescent="0.3">
      <c r="G1019" t="s">
        <v>1691</v>
      </c>
    </row>
    <row r="1020" spans="7:9" x14ac:dyDescent="0.3">
      <c r="G1020" t="s">
        <v>1168</v>
      </c>
      <c r="H1020" t="s">
        <v>68</v>
      </c>
      <c r="I1020">
        <v>287378</v>
      </c>
    </row>
    <row r="1021" spans="7:9" x14ac:dyDescent="0.3">
      <c r="H1021" t="s">
        <v>1948</v>
      </c>
    </row>
    <row r="1022" spans="7:9" x14ac:dyDescent="0.3">
      <c r="G1022" t="s">
        <v>1692</v>
      </c>
    </row>
    <row r="1023" spans="7:9" x14ac:dyDescent="0.3">
      <c r="G1023" t="s">
        <v>451</v>
      </c>
      <c r="H1023" t="s">
        <v>54</v>
      </c>
      <c r="I1023">
        <v>96474</v>
      </c>
    </row>
    <row r="1024" spans="7:9" x14ac:dyDescent="0.3">
      <c r="H1024" t="s">
        <v>1950</v>
      </c>
    </row>
    <row r="1025" spans="7:9" x14ac:dyDescent="0.3">
      <c r="G1025" t="s">
        <v>1693</v>
      </c>
    </row>
    <row r="1026" spans="7:9" x14ac:dyDescent="0.3">
      <c r="G1026" t="s">
        <v>1106</v>
      </c>
      <c r="H1026" t="s">
        <v>27</v>
      </c>
      <c r="I1026">
        <v>59570</v>
      </c>
    </row>
    <row r="1027" spans="7:9" x14ac:dyDescent="0.3">
      <c r="H1027" t="s">
        <v>1944</v>
      </c>
    </row>
    <row r="1028" spans="7:9" x14ac:dyDescent="0.3">
      <c r="G1028" t="s">
        <v>1694</v>
      </c>
    </row>
    <row r="1029" spans="7:9" x14ac:dyDescent="0.3">
      <c r="G1029" t="s">
        <v>99</v>
      </c>
      <c r="H1029" t="s">
        <v>60</v>
      </c>
      <c r="I1029">
        <v>599184</v>
      </c>
    </row>
    <row r="1030" spans="7:9" x14ac:dyDescent="0.3">
      <c r="H1030" t="s">
        <v>1949</v>
      </c>
    </row>
    <row r="1031" spans="7:9" x14ac:dyDescent="0.3">
      <c r="G1031" t="s">
        <v>1695</v>
      </c>
    </row>
    <row r="1032" spans="7:9" x14ac:dyDescent="0.3">
      <c r="G1032" t="s">
        <v>1230</v>
      </c>
      <c r="H1032" t="s">
        <v>60</v>
      </c>
      <c r="I1032">
        <v>338037</v>
      </c>
    </row>
    <row r="1033" spans="7:9" x14ac:dyDescent="0.3">
      <c r="H1033" t="s">
        <v>1949</v>
      </c>
    </row>
    <row r="1034" spans="7:9" x14ac:dyDescent="0.3">
      <c r="G1034" t="s">
        <v>1696</v>
      </c>
    </row>
    <row r="1035" spans="7:9" x14ac:dyDescent="0.3">
      <c r="G1035" t="s">
        <v>1030</v>
      </c>
      <c r="H1035" t="s">
        <v>54</v>
      </c>
      <c r="I1035">
        <v>777564</v>
      </c>
    </row>
    <row r="1036" spans="7:9" x14ac:dyDescent="0.3">
      <c r="H1036" t="s">
        <v>1950</v>
      </c>
    </row>
    <row r="1037" spans="7:9" x14ac:dyDescent="0.3">
      <c r="G1037" t="s">
        <v>1697</v>
      </c>
    </row>
    <row r="1038" spans="7:9" x14ac:dyDescent="0.3">
      <c r="G1038" t="s">
        <v>224</v>
      </c>
      <c r="H1038" t="s">
        <v>123</v>
      </c>
      <c r="I1038">
        <v>377501</v>
      </c>
    </row>
    <row r="1039" spans="7:9" x14ac:dyDescent="0.3">
      <c r="H1039" t="s">
        <v>1947</v>
      </c>
    </row>
    <row r="1040" spans="7:9" x14ac:dyDescent="0.3">
      <c r="G1040" t="s">
        <v>1698</v>
      </c>
    </row>
    <row r="1041" spans="7:9" x14ac:dyDescent="0.3">
      <c r="G1041" t="s">
        <v>996</v>
      </c>
      <c r="H1041" t="s">
        <v>60</v>
      </c>
      <c r="I1041">
        <v>921190</v>
      </c>
    </row>
    <row r="1042" spans="7:9" x14ac:dyDescent="0.3">
      <c r="H1042" t="s">
        <v>1949</v>
      </c>
    </row>
    <row r="1043" spans="7:9" x14ac:dyDescent="0.3">
      <c r="G1043" t="s">
        <v>1699</v>
      </c>
    </row>
    <row r="1044" spans="7:9" x14ac:dyDescent="0.3">
      <c r="G1044" t="s">
        <v>319</v>
      </c>
      <c r="H1044" t="s">
        <v>123</v>
      </c>
      <c r="I1044">
        <v>866614</v>
      </c>
    </row>
    <row r="1045" spans="7:9" x14ac:dyDescent="0.3">
      <c r="H1045" t="s">
        <v>1947</v>
      </c>
    </row>
    <row r="1046" spans="7:9" x14ac:dyDescent="0.3">
      <c r="G1046" t="s">
        <v>1700</v>
      </c>
    </row>
    <row r="1047" spans="7:9" x14ac:dyDescent="0.3">
      <c r="G1047" t="s">
        <v>688</v>
      </c>
      <c r="H1047" t="s">
        <v>123</v>
      </c>
      <c r="I1047">
        <v>881564</v>
      </c>
    </row>
    <row r="1048" spans="7:9" x14ac:dyDescent="0.3">
      <c r="H1048" t="s">
        <v>1947</v>
      </c>
    </row>
    <row r="1049" spans="7:9" x14ac:dyDescent="0.3">
      <c r="G1049" t="s">
        <v>1701</v>
      </c>
    </row>
    <row r="1050" spans="7:9" x14ac:dyDescent="0.3">
      <c r="G1050" t="s">
        <v>1220</v>
      </c>
      <c r="H1050" t="s">
        <v>36</v>
      </c>
      <c r="I1050">
        <v>704669</v>
      </c>
    </row>
    <row r="1051" spans="7:9" x14ac:dyDescent="0.3">
      <c r="H1051" t="s">
        <v>1945</v>
      </c>
    </row>
    <row r="1052" spans="7:9" x14ac:dyDescent="0.3">
      <c r="G1052" t="s">
        <v>1702</v>
      </c>
    </row>
    <row r="1053" spans="7:9" x14ac:dyDescent="0.3">
      <c r="G1053" t="s">
        <v>1272</v>
      </c>
      <c r="H1053" t="s">
        <v>123</v>
      </c>
      <c r="I1053">
        <v>695247</v>
      </c>
    </row>
    <row r="1054" spans="7:9" x14ac:dyDescent="0.3">
      <c r="H1054" t="s">
        <v>1947</v>
      </c>
    </row>
    <row r="1055" spans="7:9" x14ac:dyDescent="0.3">
      <c r="G1055" t="s">
        <v>1703</v>
      </c>
    </row>
    <row r="1056" spans="7:9" x14ac:dyDescent="0.3">
      <c r="G1056" t="s">
        <v>778</v>
      </c>
      <c r="H1056" t="s">
        <v>123</v>
      </c>
      <c r="I1056">
        <v>464313</v>
      </c>
    </row>
    <row r="1057" spans="7:9" x14ac:dyDescent="0.3">
      <c r="H1057" t="s">
        <v>1947</v>
      </c>
    </row>
    <row r="1058" spans="7:9" x14ac:dyDescent="0.3">
      <c r="G1058" t="s">
        <v>1704</v>
      </c>
    </row>
    <row r="1059" spans="7:9" x14ac:dyDescent="0.3">
      <c r="G1059" t="s">
        <v>780</v>
      </c>
      <c r="H1059" t="s">
        <v>152</v>
      </c>
      <c r="I1059">
        <v>424189</v>
      </c>
    </row>
    <row r="1060" spans="7:9" x14ac:dyDescent="0.3">
      <c r="H1060" t="s">
        <v>1946</v>
      </c>
    </row>
    <row r="1061" spans="7:9" x14ac:dyDescent="0.3">
      <c r="G1061" t="s">
        <v>1705</v>
      </c>
    </row>
    <row r="1062" spans="7:9" x14ac:dyDescent="0.3">
      <c r="G1062" t="s">
        <v>1078</v>
      </c>
      <c r="H1062" t="s">
        <v>54</v>
      </c>
      <c r="I1062">
        <v>389784</v>
      </c>
    </row>
    <row r="1063" spans="7:9" x14ac:dyDescent="0.3">
      <c r="H1063" t="s">
        <v>1950</v>
      </c>
    </row>
    <row r="1064" spans="7:9" x14ac:dyDescent="0.3">
      <c r="G1064" t="s">
        <v>1706</v>
      </c>
    </row>
    <row r="1065" spans="7:9" x14ac:dyDescent="0.3">
      <c r="G1065" t="s">
        <v>207</v>
      </c>
      <c r="H1065" t="s">
        <v>36</v>
      </c>
      <c r="I1065">
        <v>591682</v>
      </c>
    </row>
    <row r="1066" spans="7:9" x14ac:dyDescent="0.3">
      <c r="H1066" t="s">
        <v>1945</v>
      </c>
    </row>
    <row r="1067" spans="7:9" x14ac:dyDescent="0.3">
      <c r="G1067" t="s">
        <v>1707</v>
      </c>
    </row>
    <row r="1068" spans="7:9" x14ac:dyDescent="0.3">
      <c r="G1068" t="s">
        <v>960</v>
      </c>
      <c r="H1068" t="s">
        <v>54</v>
      </c>
      <c r="I1068">
        <v>739736</v>
      </c>
    </row>
    <row r="1069" spans="7:9" x14ac:dyDescent="0.3">
      <c r="H1069" t="s">
        <v>1950</v>
      </c>
    </row>
    <row r="1070" spans="7:9" x14ac:dyDescent="0.3">
      <c r="G1070" t="s">
        <v>1708</v>
      </c>
    </row>
    <row r="1071" spans="7:9" x14ac:dyDescent="0.3">
      <c r="G1071" t="s">
        <v>1002</v>
      </c>
      <c r="H1071" t="s">
        <v>152</v>
      </c>
      <c r="I1071">
        <v>842035</v>
      </c>
    </row>
    <row r="1072" spans="7:9" x14ac:dyDescent="0.3">
      <c r="H1072" t="s">
        <v>1946</v>
      </c>
    </row>
    <row r="1073" spans="7:9" x14ac:dyDescent="0.3">
      <c r="G1073" t="s">
        <v>1709</v>
      </c>
    </row>
    <row r="1074" spans="7:9" x14ac:dyDescent="0.3">
      <c r="G1074" t="s">
        <v>210</v>
      </c>
      <c r="H1074" t="s">
        <v>68</v>
      </c>
      <c r="I1074">
        <v>178515</v>
      </c>
    </row>
    <row r="1075" spans="7:9" x14ac:dyDescent="0.3">
      <c r="H1075" t="s">
        <v>1948</v>
      </c>
    </row>
    <row r="1076" spans="7:9" x14ac:dyDescent="0.3">
      <c r="G1076" t="s">
        <v>1710</v>
      </c>
    </row>
    <row r="1077" spans="7:9" x14ac:dyDescent="0.3">
      <c r="G1077" t="s">
        <v>1308</v>
      </c>
      <c r="H1077" t="s">
        <v>27</v>
      </c>
      <c r="I1077">
        <v>46394</v>
      </c>
    </row>
    <row r="1078" spans="7:9" x14ac:dyDescent="0.3">
      <c r="H1078" t="s">
        <v>1944</v>
      </c>
    </row>
    <row r="1079" spans="7:9" x14ac:dyDescent="0.3">
      <c r="G1079" t="s">
        <v>1711</v>
      </c>
    </row>
    <row r="1080" spans="7:9" x14ac:dyDescent="0.3">
      <c r="G1080" t="s">
        <v>554</v>
      </c>
      <c r="H1080" t="s">
        <v>60</v>
      </c>
      <c r="I1080">
        <v>433807</v>
      </c>
    </row>
    <row r="1081" spans="7:9" x14ac:dyDescent="0.3">
      <c r="H1081" t="s">
        <v>1949</v>
      </c>
    </row>
    <row r="1082" spans="7:9" x14ac:dyDescent="0.3">
      <c r="G1082" t="s">
        <v>1712</v>
      </c>
    </row>
    <row r="1083" spans="7:9" x14ac:dyDescent="0.3">
      <c r="G1083" t="s">
        <v>1256</v>
      </c>
      <c r="H1083" t="s">
        <v>36</v>
      </c>
      <c r="I1083">
        <v>295887</v>
      </c>
    </row>
    <row r="1084" spans="7:9" x14ac:dyDescent="0.3">
      <c r="H1084" t="s">
        <v>1945</v>
      </c>
    </row>
    <row r="1085" spans="7:9" x14ac:dyDescent="0.3">
      <c r="G1085" t="s">
        <v>1713</v>
      </c>
    </row>
    <row r="1086" spans="7:9" x14ac:dyDescent="0.3">
      <c r="G1086" t="s">
        <v>718</v>
      </c>
      <c r="H1086" t="s">
        <v>36</v>
      </c>
      <c r="I1086">
        <v>162421</v>
      </c>
    </row>
    <row r="1087" spans="7:9" x14ac:dyDescent="0.3">
      <c r="H1087" t="s">
        <v>1945</v>
      </c>
    </row>
    <row r="1088" spans="7:9" x14ac:dyDescent="0.3">
      <c r="G1088" t="s">
        <v>1714</v>
      </c>
    </row>
    <row r="1089" spans="7:9" x14ac:dyDescent="0.3">
      <c r="G1089" t="s">
        <v>584</v>
      </c>
      <c r="H1089" t="s">
        <v>68</v>
      </c>
      <c r="I1089">
        <v>66696</v>
      </c>
    </row>
    <row r="1090" spans="7:9" x14ac:dyDescent="0.3">
      <c r="H1090" t="s">
        <v>1948</v>
      </c>
    </row>
    <row r="1091" spans="7:9" x14ac:dyDescent="0.3">
      <c r="G1091" t="s">
        <v>1715</v>
      </c>
    </row>
    <row r="1092" spans="7:9" x14ac:dyDescent="0.3">
      <c r="G1092" t="s">
        <v>1102</v>
      </c>
      <c r="H1092" t="s">
        <v>123</v>
      </c>
      <c r="I1092">
        <v>715719</v>
      </c>
    </row>
    <row r="1093" spans="7:9" x14ac:dyDescent="0.3">
      <c r="H1093" t="s">
        <v>1947</v>
      </c>
    </row>
    <row r="1094" spans="7:9" x14ac:dyDescent="0.3">
      <c r="G1094" t="s">
        <v>1716</v>
      </c>
    </row>
    <row r="1095" spans="7:9" x14ac:dyDescent="0.3">
      <c r="G1095" t="s">
        <v>135</v>
      </c>
      <c r="H1095" t="s">
        <v>60</v>
      </c>
      <c r="I1095">
        <v>662559</v>
      </c>
    </row>
    <row r="1096" spans="7:9" x14ac:dyDescent="0.3">
      <c r="H1096" t="s">
        <v>1949</v>
      </c>
    </row>
    <row r="1097" spans="7:9" x14ac:dyDescent="0.3">
      <c r="G1097" t="s">
        <v>1717</v>
      </c>
    </row>
    <row r="1098" spans="7:9" x14ac:dyDescent="0.3">
      <c r="G1098" t="s">
        <v>1228</v>
      </c>
      <c r="H1098" t="s">
        <v>123</v>
      </c>
      <c r="I1098">
        <v>370212</v>
      </c>
    </row>
    <row r="1099" spans="7:9" x14ac:dyDescent="0.3">
      <c r="H1099" t="s">
        <v>1947</v>
      </c>
    </row>
    <row r="1100" spans="7:9" x14ac:dyDescent="0.3">
      <c r="G1100" t="s">
        <v>1718</v>
      </c>
    </row>
    <row r="1101" spans="7:9" x14ac:dyDescent="0.3">
      <c r="G1101" t="s">
        <v>363</v>
      </c>
      <c r="H1101" t="s">
        <v>27</v>
      </c>
      <c r="I1101">
        <v>258466</v>
      </c>
    </row>
    <row r="1102" spans="7:9" x14ac:dyDescent="0.3">
      <c r="H1102" t="s">
        <v>1944</v>
      </c>
    </row>
    <row r="1103" spans="7:9" x14ac:dyDescent="0.3">
      <c r="G1103" t="s">
        <v>1719</v>
      </c>
    </row>
    <row r="1104" spans="7:9" x14ac:dyDescent="0.3">
      <c r="G1104" t="s">
        <v>560</v>
      </c>
      <c r="H1104" t="s">
        <v>152</v>
      </c>
      <c r="I1104">
        <v>421200</v>
      </c>
    </row>
    <row r="1105" spans="7:9" x14ac:dyDescent="0.3">
      <c r="H1105" t="s">
        <v>1946</v>
      </c>
    </row>
    <row r="1106" spans="7:9" x14ac:dyDescent="0.3">
      <c r="G1106" t="s">
        <v>1720</v>
      </c>
    </row>
    <row r="1107" spans="7:9" x14ac:dyDescent="0.3">
      <c r="G1107" t="s">
        <v>724</v>
      </c>
      <c r="H1107" t="s">
        <v>27</v>
      </c>
      <c r="I1107">
        <v>130398</v>
      </c>
    </row>
    <row r="1108" spans="7:9" x14ac:dyDescent="0.3">
      <c r="H1108" t="s">
        <v>1944</v>
      </c>
    </row>
    <row r="1109" spans="7:9" x14ac:dyDescent="0.3">
      <c r="G1109" t="s">
        <v>1721</v>
      </c>
    </row>
    <row r="1110" spans="7:9" x14ac:dyDescent="0.3">
      <c r="G1110" t="s">
        <v>734</v>
      </c>
      <c r="H1110" t="s">
        <v>123</v>
      </c>
      <c r="I1110">
        <v>901582</v>
      </c>
    </row>
    <row r="1111" spans="7:9" x14ac:dyDescent="0.3">
      <c r="H1111" t="s">
        <v>1947</v>
      </c>
    </row>
    <row r="1112" spans="7:9" x14ac:dyDescent="0.3">
      <c r="G1112" t="s">
        <v>1722</v>
      </c>
    </row>
    <row r="1113" spans="7:9" x14ac:dyDescent="0.3">
      <c r="G1113" t="s">
        <v>473</v>
      </c>
      <c r="H1113" t="s">
        <v>36</v>
      </c>
      <c r="I1113">
        <v>707157</v>
      </c>
    </row>
    <row r="1114" spans="7:9" x14ac:dyDescent="0.3">
      <c r="H1114" t="s">
        <v>1945</v>
      </c>
    </row>
    <row r="1115" spans="7:9" x14ac:dyDescent="0.3">
      <c r="G1115" t="s">
        <v>1723</v>
      </c>
    </row>
    <row r="1116" spans="7:9" x14ac:dyDescent="0.3">
      <c r="G1116" t="s">
        <v>331</v>
      </c>
      <c r="H1116" t="s">
        <v>54</v>
      </c>
      <c r="I1116">
        <v>523155</v>
      </c>
    </row>
    <row r="1117" spans="7:9" x14ac:dyDescent="0.3">
      <c r="H1117" t="s">
        <v>1950</v>
      </c>
    </row>
    <row r="1118" spans="7:9" x14ac:dyDescent="0.3">
      <c r="G1118" t="s">
        <v>1724</v>
      </c>
    </row>
    <row r="1119" spans="7:9" x14ac:dyDescent="0.3">
      <c r="G1119" t="s">
        <v>1086</v>
      </c>
      <c r="H1119" t="s">
        <v>123</v>
      </c>
      <c r="I1119">
        <v>910466</v>
      </c>
    </row>
    <row r="1120" spans="7:9" x14ac:dyDescent="0.3">
      <c r="H1120" t="s">
        <v>1947</v>
      </c>
    </row>
    <row r="1121" spans="7:9" x14ac:dyDescent="0.3">
      <c r="G1121" t="s">
        <v>1725</v>
      </c>
    </row>
    <row r="1122" spans="7:9" x14ac:dyDescent="0.3">
      <c r="G1122" t="s">
        <v>590</v>
      </c>
      <c r="H1122" t="s">
        <v>36</v>
      </c>
      <c r="I1122">
        <v>331670</v>
      </c>
    </row>
    <row r="1123" spans="7:9" x14ac:dyDescent="0.3">
      <c r="H1123" t="s">
        <v>1945</v>
      </c>
    </row>
    <row r="1124" spans="7:9" x14ac:dyDescent="0.3">
      <c r="G1124" t="s">
        <v>1726</v>
      </c>
    </row>
    <row r="1125" spans="7:9" x14ac:dyDescent="0.3">
      <c r="G1125" t="s">
        <v>728</v>
      </c>
      <c r="H1125" t="s">
        <v>27</v>
      </c>
      <c r="I1125">
        <v>395459</v>
      </c>
    </row>
    <row r="1126" spans="7:9" x14ac:dyDescent="0.3">
      <c r="H1126" t="s">
        <v>1944</v>
      </c>
    </row>
    <row r="1127" spans="7:9" x14ac:dyDescent="0.3">
      <c r="G1127" t="s">
        <v>1727</v>
      </c>
    </row>
    <row r="1128" spans="7:9" x14ac:dyDescent="0.3">
      <c r="G1128" t="s">
        <v>876</v>
      </c>
      <c r="H1128" t="s">
        <v>68</v>
      </c>
      <c r="I1128">
        <v>495958</v>
      </c>
    </row>
    <row r="1129" spans="7:9" x14ac:dyDescent="0.3">
      <c r="H1129" t="s">
        <v>1948</v>
      </c>
    </row>
    <row r="1130" spans="7:9" x14ac:dyDescent="0.3">
      <c r="G1130" t="s">
        <v>1728</v>
      </c>
    </row>
    <row r="1131" spans="7:9" x14ac:dyDescent="0.3">
      <c r="G1131" t="s">
        <v>946</v>
      </c>
      <c r="H1131" t="s">
        <v>60</v>
      </c>
      <c r="I1131">
        <v>278170</v>
      </c>
    </row>
    <row r="1132" spans="7:9" x14ac:dyDescent="0.3">
      <c r="H1132" t="s">
        <v>1949</v>
      </c>
    </row>
    <row r="1133" spans="7:9" x14ac:dyDescent="0.3">
      <c r="G1133" t="s">
        <v>1729</v>
      </c>
    </row>
    <row r="1134" spans="7:9" x14ac:dyDescent="0.3">
      <c r="G1134" t="s">
        <v>347</v>
      </c>
      <c r="H1134" t="s">
        <v>36</v>
      </c>
      <c r="I1134">
        <v>381011</v>
      </c>
    </row>
    <row r="1135" spans="7:9" x14ac:dyDescent="0.3">
      <c r="H1135" t="s">
        <v>1945</v>
      </c>
    </row>
    <row r="1136" spans="7:9" x14ac:dyDescent="0.3">
      <c r="G1136" t="s">
        <v>1730</v>
      </c>
    </row>
    <row r="1137" spans="7:9" x14ac:dyDescent="0.3">
      <c r="G1137" t="s">
        <v>463</v>
      </c>
      <c r="H1137" t="s">
        <v>68</v>
      </c>
      <c r="I1137">
        <v>187943</v>
      </c>
    </row>
    <row r="1138" spans="7:9" x14ac:dyDescent="0.3">
      <c r="H1138" t="s">
        <v>1948</v>
      </c>
    </row>
    <row r="1139" spans="7:9" x14ac:dyDescent="0.3">
      <c r="G1139" t="s">
        <v>1731</v>
      </c>
    </row>
    <row r="1140" spans="7:9" x14ac:dyDescent="0.3">
      <c r="G1140" t="s">
        <v>1300</v>
      </c>
      <c r="H1140" t="s">
        <v>36</v>
      </c>
      <c r="I1140">
        <v>369411</v>
      </c>
    </row>
    <row r="1141" spans="7:9" x14ac:dyDescent="0.3">
      <c r="H1141" t="s">
        <v>1945</v>
      </c>
    </row>
    <row r="1142" spans="7:9" x14ac:dyDescent="0.3">
      <c r="G1142" t="s">
        <v>1732</v>
      </c>
    </row>
    <row r="1143" spans="7:9" x14ac:dyDescent="0.3">
      <c r="G1143" t="s">
        <v>664</v>
      </c>
      <c r="H1143" t="s">
        <v>27</v>
      </c>
      <c r="I1143">
        <v>27491</v>
      </c>
    </row>
    <row r="1144" spans="7:9" x14ac:dyDescent="0.3">
      <c r="H1144" t="s">
        <v>1944</v>
      </c>
    </row>
    <row r="1145" spans="7:9" x14ac:dyDescent="0.3">
      <c r="G1145" t="s">
        <v>1733</v>
      </c>
    </row>
    <row r="1146" spans="7:9" x14ac:dyDescent="0.3">
      <c r="G1146" t="s">
        <v>792</v>
      </c>
      <c r="H1146" t="s">
        <v>68</v>
      </c>
      <c r="I1146">
        <v>594097</v>
      </c>
    </row>
    <row r="1147" spans="7:9" x14ac:dyDescent="0.3">
      <c r="H1147" t="s">
        <v>1948</v>
      </c>
    </row>
    <row r="1148" spans="7:9" x14ac:dyDescent="0.3">
      <c r="G1148" t="s">
        <v>1734</v>
      </c>
    </row>
    <row r="1149" spans="7:9" x14ac:dyDescent="0.3">
      <c r="G1149" t="s">
        <v>1190</v>
      </c>
      <c r="H1149" t="s">
        <v>54</v>
      </c>
      <c r="I1149">
        <v>34162</v>
      </c>
    </row>
    <row r="1150" spans="7:9" x14ac:dyDescent="0.3">
      <c r="H1150" t="s">
        <v>1950</v>
      </c>
    </row>
    <row r="1151" spans="7:9" x14ac:dyDescent="0.3">
      <c r="G1151" t="s">
        <v>1735</v>
      </c>
    </row>
    <row r="1152" spans="7:9" x14ac:dyDescent="0.3">
      <c r="G1152" t="s">
        <v>1020</v>
      </c>
      <c r="H1152" t="s">
        <v>27</v>
      </c>
      <c r="I1152">
        <v>381904</v>
      </c>
    </row>
    <row r="1153" spans="7:9" x14ac:dyDescent="0.3">
      <c r="H1153" t="s">
        <v>1944</v>
      </c>
    </row>
    <row r="1154" spans="7:9" x14ac:dyDescent="0.3">
      <c r="G1154" t="s">
        <v>1736</v>
      </c>
    </row>
    <row r="1155" spans="7:9" x14ac:dyDescent="0.3">
      <c r="G1155" t="s">
        <v>297</v>
      </c>
      <c r="H1155" t="s">
        <v>36</v>
      </c>
      <c r="I1155">
        <v>158608</v>
      </c>
    </row>
    <row r="1156" spans="7:9" x14ac:dyDescent="0.3">
      <c r="H1156" t="s">
        <v>1945</v>
      </c>
    </row>
    <row r="1157" spans="7:9" x14ac:dyDescent="0.3">
      <c r="G1157" t="s">
        <v>1737</v>
      </c>
    </row>
    <row r="1158" spans="7:9" x14ac:dyDescent="0.3">
      <c r="G1158" t="s">
        <v>944</v>
      </c>
      <c r="H1158" t="s">
        <v>27</v>
      </c>
      <c r="I1158">
        <v>55429</v>
      </c>
    </row>
    <row r="1159" spans="7:9" x14ac:dyDescent="0.3">
      <c r="H1159" t="s">
        <v>1944</v>
      </c>
    </row>
    <row r="1160" spans="7:9" x14ac:dyDescent="0.3">
      <c r="G1160" t="s">
        <v>1738</v>
      </c>
    </row>
    <row r="1161" spans="7:9" x14ac:dyDescent="0.3">
      <c r="G1161" t="s">
        <v>1112</v>
      </c>
      <c r="H1161" t="s">
        <v>54</v>
      </c>
      <c r="I1161">
        <v>870793</v>
      </c>
    </row>
    <row r="1162" spans="7:9" x14ac:dyDescent="0.3">
      <c r="H1162" t="s">
        <v>1950</v>
      </c>
    </row>
    <row r="1163" spans="7:9" x14ac:dyDescent="0.3">
      <c r="G1163" t="s">
        <v>1739</v>
      </c>
    </row>
    <row r="1164" spans="7:9" x14ac:dyDescent="0.3">
      <c r="G1164" t="s">
        <v>890</v>
      </c>
      <c r="H1164" t="s">
        <v>152</v>
      </c>
      <c r="I1164">
        <v>848072</v>
      </c>
    </row>
    <row r="1165" spans="7:9" x14ac:dyDescent="0.3">
      <c r="H1165" t="s">
        <v>1946</v>
      </c>
    </row>
    <row r="1166" spans="7:9" x14ac:dyDescent="0.3">
      <c r="G1166" t="s">
        <v>1740</v>
      </c>
    </row>
    <row r="1167" spans="7:9" x14ac:dyDescent="0.3">
      <c r="G1167" t="s">
        <v>469</v>
      </c>
      <c r="H1167" t="s">
        <v>54</v>
      </c>
      <c r="I1167">
        <v>840864</v>
      </c>
    </row>
    <row r="1168" spans="7:9" x14ac:dyDescent="0.3">
      <c r="H1168" t="s">
        <v>1950</v>
      </c>
    </row>
    <row r="1169" spans="7:9" x14ac:dyDescent="0.3">
      <c r="G1169" t="s">
        <v>1741</v>
      </c>
    </row>
    <row r="1170" spans="7:9" x14ac:dyDescent="0.3">
      <c r="G1170" t="s">
        <v>822</v>
      </c>
      <c r="H1170" t="s">
        <v>152</v>
      </c>
      <c r="I1170">
        <v>18775</v>
      </c>
    </row>
    <row r="1171" spans="7:9" x14ac:dyDescent="0.3">
      <c r="H1171" t="s">
        <v>1946</v>
      </c>
    </row>
    <row r="1172" spans="7:9" x14ac:dyDescent="0.3">
      <c r="G1172" t="s">
        <v>1742</v>
      </c>
    </row>
    <row r="1173" spans="7:9" x14ac:dyDescent="0.3">
      <c r="G1173" t="s">
        <v>307</v>
      </c>
      <c r="H1173" t="s">
        <v>123</v>
      </c>
      <c r="I1173">
        <v>294218</v>
      </c>
    </row>
    <row r="1174" spans="7:9" x14ac:dyDescent="0.3">
      <c r="H1174" t="s">
        <v>1947</v>
      </c>
    </row>
    <row r="1175" spans="7:9" x14ac:dyDescent="0.3">
      <c r="G1175" t="s">
        <v>1743</v>
      </c>
    </row>
    <row r="1176" spans="7:9" x14ac:dyDescent="0.3">
      <c r="G1176" t="s">
        <v>170</v>
      </c>
      <c r="H1176" t="s">
        <v>54</v>
      </c>
      <c r="I1176">
        <v>537361</v>
      </c>
    </row>
    <row r="1177" spans="7:9" x14ac:dyDescent="0.3">
      <c r="H1177" t="s">
        <v>1950</v>
      </c>
    </row>
    <row r="1178" spans="7:9" x14ac:dyDescent="0.3">
      <c r="G1178" t="s">
        <v>1744</v>
      </c>
    </row>
    <row r="1179" spans="7:9" x14ac:dyDescent="0.3">
      <c r="G1179" t="s">
        <v>1284</v>
      </c>
      <c r="H1179" t="s">
        <v>36</v>
      </c>
      <c r="I1179">
        <v>897331</v>
      </c>
    </row>
    <row r="1180" spans="7:9" x14ac:dyDescent="0.3">
      <c r="H1180" t="s">
        <v>1945</v>
      </c>
    </row>
    <row r="1181" spans="7:9" x14ac:dyDescent="0.3">
      <c r="G1181" t="s">
        <v>1745</v>
      </c>
    </row>
    <row r="1182" spans="7:9" x14ac:dyDescent="0.3">
      <c r="G1182" t="s">
        <v>936</v>
      </c>
      <c r="H1182" t="s">
        <v>54</v>
      </c>
      <c r="I1182">
        <v>366027</v>
      </c>
    </row>
    <row r="1183" spans="7:9" x14ac:dyDescent="0.3">
      <c r="H1183" t="s">
        <v>1950</v>
      </c>
    </row>
    <row r="1184" spans="7:9" x14ac:dyDescent="0.3">
      <c r="G1184" t="s">
        <v>1746</v>
      </c>
    </row>
    <row r="1185" spans="7:9" x14ac:dyDescent="0.3">
      <c r="G1185" t="s">
        <v>457</v>
      </c>
      <c r="H1185" t="s">
        <v>123</v>
      </c>
      <c r="I1185">
        <v>176445</v>
      </c>
    </row>
    <row r="1186" spans="7:9" x14ac:dyDescent="0.3">
      <c r="H1186" t="s">
        <v>1947</v>
      </c>
    </row>
    <row r="1187" spans="7:9" x14ac:dyDescent="0.3">
      <c r="G1187" t="s">
        <v>1747</v>
      </c>
    </row>
    <row r="1188" spans="7:9" x14ac:dyDescent="0.3">
      <c r="G1188" t="s">
        <v>750</v>
      </c>
      <c r="H1188" t="s">
        <v>54</v>
      </c>
      <c r="I1188">
        <v>380132</v>
      </c>
    </row>
    <row r="1189" spans="7:9" x14ac:dyDescent="0.3">
      <c r="H1189" t="s">
        <v>1950</v>
      </c>
    </row>
    <row r="1190" spans="7:9" x14ac:dyDescent="0.3">
      <c r="G1190" t="s">
        <v>1748</v>
      </c>
    </row>
    <row r="1191" spans="7:9" x14ac:dyDescent="0.3">
      <c r="G1191" t="s">
        <v>263</v>
      </c>
      <c r="H1191" t="s">
        <v>54</v>
      </c>
      <c r="I1191">
        <v>523107</v>
      </c>
    </row>
    <row r="1192" spans="7:9" x14ac:dyDescent="0.3">
      <c r="H1192" t="s">
        <v>1950</v>
      </c>
    </row>
    <row r="1193" spans="7:9" x14ac:dyDescent="0.3">
      <c r="G1193" t="s">
        <v>1749</v>
      </c>
    </row>
    <row r="1194" spans="7:9" x14ac:dyDescent="0.3">
      <c r="G1194" t="s">
        <v>738</v>
      </c>
      <c r="H1194" t="s">
        <v>36</v>
      </c>
      <c r="I1194">
        <v>783009</v>
      </c>
    </row>
    <row r="1195" spans="7:9" x14ac:dyDescent="0.3">
      <c r="H1195" t="s">
        <v>1945</v>
      </c>
    </row>
    <row r="1196" spans="7:9" x14ac:dyDescent="0.3">
      <c r="G1196" t="s">
        <v>1750</v>
      </c>
    </row>
    <row r="1197" spans="7:9" x14ac:dyDescent="0.3">
      <c r="G1197" t="s">
        <v>214</v>
      </c>
      <c r="H1197" t="s">
        <v>123</v>
      </c>
      <c r="I1197">
        <v>912746</v>
      </c>
    </row>
    <row r="1198" spans="7:9" x14ac:dyDescent="0.3">
      <c r="H1198" t="s">
        <v>1947</v>
      </c>
    </row>
    <row r="1199" spans="7:9" x14ac:dyDescent="0.3">
      <c r="G1199" t="s">
        <v>1751</v>
      </c>
    </row>
    <row r="1200" spans="7:9" x14ac:dyDescent="0.3">
      <c r="G1200" t="s">
        <v>429</v>
      </c>
      <c r="H1200" t="s">
        <v>36</v>
      </c>
      <c r="I1200">
        <v>589437</v>
      </c>
    </row>
    <row r="1201" spans="7:9" x14ac:dyDescent="0.3">
      <c r="H1201" t="s">
        <v>1945</v>
      </c>
    </row>
    <row r="1202" spans="7:9" x14ac:dyDescent="0.3">
      <c r="G1202" t="s">
        <v>1752</v>
      </c>
    </row>
    <row r="1203" spans="7:9" x14ac:dyDescent="0.3">
      <c r="G1203" t="s">
        <v>656</v>
      </c>
      <c r="H1203" t="s">
        <v>27</v>
      </c>
      <c r="I1203">
        <v>887782</v>
      </c>
    </row>
    <row r="1204" spans="7:9" x14ac:dyDescent="0.3">
      <c r="H1204" t="s">
        <v>1944</v>
      </c>
    </row>
    <row r="1205" spans="7:9" x14ac:dyDescent="0.3">
      <c r="G1205" t="s">
        <v>1753</v>
      </c>
    </row>
    <row r="1206" spans="7:9" x14ac:dyDescent="0.3">
      <c r="G1206" t="s">
        <v>70</v>
      </c>
      <c r="H1206" t="s">
        <v>68</v>
      </c>
      <c r="I1206">
        <v>184440</v>
      </c>
    </row>
    <row r="1207" spans="7:9" x14ac:dyDescent="0.3">
      <c r="H1207" t="s">
        <v>1948</v>
      </c>
    </row>
    <row r="1208" spans="7:9" x14ac:dyDescent="0.3">
      <c r="G1208" t="s">
        <v>1754</v>
      </c>
    </row>
    <row r="1209" spans="7:9" x14ac:dyDescent="0.3">
      <c r="G1209" t="s">
        <v>1200</v>
      </c>
      <c r="H1209" t="s">
        <v>60</v>
      </c>
      <c r="I1209">
        <v>83660</v>
      </c>
    </row>
    <row r="1210" spans="7:9" x14ac:dyDescent="0.3">
      <c r="H1210" t="s">
        <v>1949</v>
      </c>
    </row>
    <row r="1211" spans="7:9" x14ac:dyDescent="0.3">
      <c r="G1211" t="s">
        <v>1755</v>
      </c>
    </row>
    <row r="1212" spans="7:9" x14ac:dyDescent="0.3">
      <c r="G1212" t="s">
        <v>391</v>
      </c>
      <c r="H1212" t="s">
        <v>68</v>
      </c>
      <c r="I1212">
        <v>429868</v>
      </c>
    </row>
    <row r="1213" spans="7:9" x14ac:dyDescent="0.3">
      <c r="H1213" t="s">
        <v>1948</v>
      </c>
    </row>
    <row r="1214" spans="7:9" x14ac:dyDescent="0.3">
      <c r="G1214" t="s">
        <v>1756</v>
      </c>
    </row>
    <row r="1215" spans="7:9" x14ac:dyDescent="0.3">
      <c r="G1215" t="s">
        <v>397</v>
      </c>
      <c r="H1215" t="s">
        <v>152</v>
      </c>
      <c r="I1215">
        <v>119644</v>
      </c>
    </row>
    <row r="1216" spans="7:9" x14ac:dyDescent="0.3">
      <c r="H1216" t="s">
        <v>1946</v>
      </c>
    </row>
    <row r="1217" spans="7:9" x14ac:dyDescent="0.3">
      <c r="G1217" t="s">
        <v>1757</v>
      </c>
    </row>
    <row r="1218" spans="7:9" x14ac:dyDescent="0.3">
      <c r="G1218" t="s">
        <v>395</v>
      </c>
      <c r="H1218" t="s">
        <v>68</v>
      </c>
      <c r="I1218">
        <v>370238</v>
      </c>
    </row>
    <row r="1219" spans="7:9" x14ac:dyDescent="0.3">
      <c r="H1219" t="s">
        <v>1948</v>
      </c>
    </row>
    <row r="1220" spans="7:9" x14ac:dyDescent="0.3">
      <c r="G1220" t="s">
        <v>1758</v>
      </c>
    </row>
    <row r="1221" spans="7:9" x14ac:dyDescent="0.3">
      <c r="G1221" t="s">
        <v>852</v>
      </c>
      <c r="H1221" t="s">
        <v>60</v>
      </c>
      <c r="I1221">
        <v>398116</v>
      </c>
    </row>
    <row r="1222" spans="7:9" x14ac:dyDescent="0.3">
      <c r="H1222" t="s">
        <v>1949</v>
      </c>
    </row>
    <row r="1223" spans="7:9" x14ac:dyDescent="0.3">
      <c r="G1223" t="s">
        <v>1759</v>
      </c>
    </row>
    <row r="1224" spans="7:9" x14ac:dyDescent="0.3">
      <c r="G1224" t="s">
        <v>702</v>
      </c>
      <c r="H1224" t="s">
        <v>152</v>
      </c>
      <c r="I1224">
        <v>361349</v>
      </c>
    </row>
    <row r="1225" spans="7:9" x14ac:dyDescent="0.3">
      <c r="H1225" t="s">
        <v>1946</v>
      </c>
    </row>
    <row r="1226" spans="7:9" x14ac:dyDescent="0.3">
      <c r="G1226" t="s">
        <v>1760</v>
      </c>
    </row>
    <row r="1227" spans="7:9" x14ac:dyDescent="0.3">
      <c r="G1227" t="s">
        <v>858</v>
      </c>
      <c r="H1227" t="s">
        <v>68</v>
      </c>
      <c r="I1227">
        <v>476547</v>
      </c>
    </row>
    <row r="1228" spans="7:9" x14ac:dyDescent="0.3">
      <c r="H1228" t="s">
        <v>1948</v>
      </c>
    </row>
    <row r="1229" spans="7:9" x14ac:dyDescent="0.3">
      <c r="G1229" t="s">
        <v>1761</v>
      </c>
    </row>
    <row r="1230" spans="7:9" x14ac:dyDescent="0.3">
      <c r="G1230" t="s">
        <v>814</v>
      </c>
      <c r="H1230" t="s">
        <v>54</v>
      </c>
      <c r="I1230">
        <v>930001</v>
      </c>
    </row>
    <row r="1231" spans="7:9" x14ac:dyDescent="0.3">
      <c r="H1231" t="s">
        <v>1950</v>
      </c>
    </row>
    <row r="1232" spans="7:9" x14ac:dyDescent="0.3">
      <c r="G1232" t="s">
        <v>1762</v>
      </c>
    </row>
    <row r="1233" spans="7:9" x14ac:dyDescent="0.3">
      <c r="G1233" t="s">
        <v>870</v>
      </c>
      <c r="H1233" t="s">
        <v>152</v>
      </c>
      <c r="I1233">
        <v>422860</v>
      </c>
    </row>
    <row r="1234" spans="7:9" x14ac:dyDescent="0.3">
      <c r="H1234" t="s">
        <v>1946</v>
      </c>
    </row>
    <row r="1235" spans="7:9" x14ac:dyDescent="0.3">
      <c r="G1235" t="s">
        <v>1763</v>
      </c>
    </row>
    <row r="1236" spans="7:9" x14ac:dyDescent="0.3">
      <c r="G1236" t="s">
        <v>616</v>
      </c>
      <c r="H1236" t="s">
        <v>68</v>
      </c>
      <c r="I1236">
        <v>513111</v>
      </c>
    </row>
    <row r="1237" spans="7:9" x14ac:dyDescent="0.3">
      <c r="H1237" t="s">
        <v>1948</v>
      </c>
    </row>
    <row r="1238" spans="7:9" x14ac:dyDescent="0.3">
      <c r="G1238" t="s">
        <v>1764</v>
      </c>
    </row>
    <row r="1239" spans="7:9" x14ac:dyDescent="0.3">
      <c r="G1239" t="s">
        <v>311</v>
      </c>
      <c r="H1239" t="s">
        <v>68</v>
      </c>
      <c r="I1239">
        <v>635963</v>
      </c>
    </row>
    <row r="1240" spans="7:9" x14ac:dyDescent="0.3">
      <c r="H1240" t="s">
        <v>1948</v>
      </c>
    </row>
    <row r="1241" spans="7:9" x14ac:dyDescent="0.3">
      <c r="G1241" t="s">
        <v>1765</v>
      </c>
    </row>
    <row r="1242" spans="7:9" x14ac:dyDescent="0.3">
      <c r="G1242" t="s">
        <v>968</v>
      </c>
      <c r="H1242" t="s">
        <v>27</v>
      </c>
      <c r="I1242">
        <v>105211</v>
      </c>
    </row>
    <row r="1243" spans="7:9" x14ac:dyDescent="0.3">
      <c r="H1243" t="s">
        <v>1944</v>
      </c>
    </row>
    <row r="1244" spans="7:9" x14ac:dyDescent="0.3">
      <c r="G1244" t="s">
        <v>1766</v>
      </c>
    </row>
    <row r="1245" spans="7:9" x14ac:dyDescent="0.3">
      <c r="G1245" t="s">
        <v>760</v>
      </c>
      <c r="H1245" t="s">
        <v>27</v>
      </c>
      <c r="I1245">
        <v>667075</v>
      </c>
    </row>
    <row r="1246" spans="7:9" x14ac:dyDescent="0.3">
      <c r="H1246" t="s">
        <v>1944</v>
      </c>
    </row>
    <row r="1247" spans="7:9" x14ac:dyDescent="0.3">
      <c r="G1247" t="s">
        <v>1767</v>
      </c>
    </row>
    <row r="1248" spans="7:9" x14ac:dyDescent="0.3">
      <c r="G1248" t="s">
        <v>1126</v>
      </c>
      <c r="H1248" t="s">
        <v>54</v>
      </c>
      <c r="I1248">
        <v>375286</v>
      </c>
    </row>
    <row r="1249" spans="7:9" x14ac:dyDescent="0.3">
      <c r="H1249" t="s">
        <v>1950</v>
      </c>
    </row>
    <row r="1250" spans="7:9" x14ac:dyDescent="0.3">
      <c r="G1250" t="s">
        <v>1768</v>
      </c>
    </row>
    <row r="1251" spans="7:9" x14ac:dyDescent="0.3">
      <c r="G1251" t="s">
        <v>666</v>
      </c>
      <c r="H1251" t="s">
        <v>123</v>
      </c>
      <c r="I1251">
        <v>525003</v>
      </c>
    </row>
    <row r="1252" spans="7:9" x14ac:dyDescent="0.3">
      <c r="H1252" t="s">
        <v>1947</v>
      </c>
    </row>
    <row r="1253" spans="7:9" x14ac:dyDescent="0.3">
      <c r="G1253" t="s">
        <v>1769</v>
      </c>
    </row>
    <row r="1254" spans="7:9" x14ac:dyDescent="0.3">
      <c r="G1254" t="s">
        <v>806</v>
      </c>
      <c r="H1254" t="s">
        <v>60</v>
      </c>
      <c r="I1254">
        <v>721226</v>
      </c>
    </row>
    <row r="1255" spans="7:9" x14ac:dyDescent="0.3">
      <c r="H1255" t="s">
        <v>1949</v>
      </c>
    </row>
    <row r="1256" spans="7:9" x14ac:dyDescent="0.3">
      <c r="G1256" t="s">
        <v>1770</v>
      </c>
    </row>
    <row r="1257" spans="7:9" x14ac:dyDescent="0.3">
      <c r="G1257" t="s">
        <v>1298</v>
      </c>
      <c r="H1257" t="s">
        <v>60</v>
      </c>
      <c r="I1257">
        <v>937633</v>
      </c>
    </row>
    <row r="1258" spans="7:9" x14ac:dyDescent="0.3">
      <c r="H1258" t="s">
        <v>1949</v>
      </c>
    </row>
    <row r="1259" spans="7:9" x14ac:dyDescent="0.3">
      <c r="G1259" t="s">
        <v>1771</v>
      </c>
    </row>
    <row r="1260" spans="7:9" x14ac:dyDescent="0.3">
      <c r="G1260" t="s">
        <v>1136</v>
      </c>
      <c r="H1260" t="s">
        <v>152</v>
      </c>
      <c r="I1260">
        <v>112802</v>
      </c>
    </row>
    <row r="1261" spans="7:9" x14ac:dyDescent="0.3">
      <c r="H1261" t="s">
        <v>1946</v>
      </c>
    </row>
    <row r="1262" spans="7:9" x14ac:dyDescent="0.3">
      <c r="G1262" t="s">
        <v>1772</v>
      </c>
    </row>
    <row r="1263" spans="7:9" x14ac:dyDescent="0.3">
      <c r="G1263" t="s">
        <v>488</v>
      </c>
      <c r="H1263" t="s">
        <v>68</v>
      </c>
      <c r="I1263">
        <v>124261</v>
      </c>
    </row>
    <row r="1264" spans="7:9" x14ac:dyDescent="0.3">
      <c r="H1264" t="s">
        <v>1948</v>
      </c>
    </row>
    <row r="1265" spans="7:9" x14ac:dyDescent="0.3">
      <c r="G1265" t="s">
        <v>1773</v>
      </c>
    </row>
    <row r="1266" spans="7:9" x14ac:dyDescent="0.3">
      <c r="G1266" t="s">
        <v>618</v>
      </c>
      <c r="H1266" t="s">
        <v>68</v>
      </c>
      <c r="I1266">
        <v>799668</v>
      </c>
    </row>
    <row r="1267" spans="7:9" x14ac:dyDescent="0.3">
      <c r="H1267" t="s">
        <v>1948</v>
      </c>
    </row>
    <row r="1268" spans="7:9" x14ac:dyDescent="0.3">
      <c r="G1268" t="s">
        <v>1774</v>
      </c>
    </row>
    <row r="1269" spans="7:9" x14ac:dyDescent="0.3">
      <c r="G1269" t="s">
        <v>790</v>
      </c>
      <c r="H1269" t="s">
        <v>68</v>
      </c>
      <c r="I1269">
        <v>369838</v>
      </c>
    </row>
    <row r="1270" spans="7:9" x14ac:dyDescent="0.3">
      <c r="H1270" t="s">
        <v>1948</v>
      </c>
    </row>
    <row r="1271" spans="7:9" x14ac:dyDescent="0.3">
      <c r="G1271" t="s">
        <v>1775</v>
      </c>
    </row>
    <row r="1272" spans="7:9" x14ac:dyDescent="0.3">
      <c r="G1272" t="s">
        <v>730</v>
      </c>
      <c r="H1272" t="s">
        <v>54</v>
      </c>
      <c r="I1272">
        <v>835594</v>
      </c>
    </row>
    <row r="1273" spans="7:9" x14ac:dyDescent="0.3">
      <c r="H1273" t="s">
        <v>1950</v>
      </c>
    </row>
    <row r="1274" spans="7:9" x14ac:dyDescent="0.3">
      <c r="G1274" t="s">
        <v>1776</v>
      </c>
    </row>
    <row r="1275" spans="7:9" x14ac:dyDescent="0.3">
      <c r="G1275" t="s">
        <v>820</v>
      </c>
      <c r="H1275" t="s">
        <v>36</v>
      </c>
      <c r="I1275">
        <v>544903</v>
      </c>
    </row>
    <row r="1276" spans="7:9" x14ac:dyDescent="0.3">
      <c r="H1276" t="s">
        <v>1945</v>
      </c>
    </row>
    <row r="1277" spans="7:9" x14ac:dyDescent="0.3">
      <c r="G1277" t="s">
        <v>1777</v>
      </c>
    </row>
    <row r="1278" spans="7:9" x14ac:dyDescent="0.3">
      <c r="G1278" t="s">
        <v>868</v>
      </c>
      <c r="H1278" t="s">
        <v>54</v>
      </c>
      <c r="I1278">
        <v>146384</v>
      </c>
    </row>
    <row r="1279" spans="7:9" x14ac:dyDescent="0.3">
      <c r="H1279" t="s">
        <v>1950</v>
      </c>
    </row>
    <row r="1280" spans="7:9" x14ac:dyDescent="0.3">
      <c r="G1280" t="s">
        <v>1778</v>
      </c>
    </row>
    <row r="1281" spans="7:9" x14ac:dyDescent="0.3">
      <c r="G1281" t="s">
        <v>558</v>
      </c>
      <c r="H1281" t="s">
        <v>36</v>
      </c>
      <c r="I1281">
        <v>817156</v>
      </c>
    </row>
    <row r="1282" spans="7:9" x14ac:dyDescent="0.3">
      <c r="H1282" t="s">
        <v>1945</v>
      </c>
    </row>
    <row r="1283" spans="7:9" x14ac:dyDescent="0.3">
      <c r="G1283" t="s">
        <v>1779</v>
      </c>
    </row>
    <row r="1284" spans="7:9" x14ac:dyDescent="0.3">
      <c r="G1284" t="s">
        <v>1278</v>
      </c>
      <c r="H1284" t="s">
        <v>68</v>
      </c>
      <c r="I1284">
        <v>475314</v>
      </c>
    </row>
    <row r="1285" spans="7:9" x14ac:dyDescent="0.3">
      <c r="H1285" t="s">
        <v>1948</v>
      </c>
    </row>
    <row r="1286" spans="7:9" x14ac:dyDescent="0.3">
      <c r="G1286" t="s">
        <v>1780</v>
      </c>
    </row>
    <row r="1287" spans="7:9" x14ac:dyDescent="0.3">
      <c r="G1287" t="s">
        <v>500</v>
      </c>
      <c r="H1287" t="s">
        <v>152</v>
      </c>
      <c r="I1287">
        <v>817576</v>
      </c>
    </row>
    <row r="1288" spans="7:9" x14ac:dyDescent="0.3">
      <c r="H1288" t="s">
        <v>1946</v>
      </c>
    </row>
    <row r="1289" spans="7:9" x14ac:dyDescent="0.3">
      <c r="G1289" t="s">
        <v>1781</v>
      </c>
    </row>
    <row r="1290" spans="7:9" x14ac:dyDescent="0.3">
      <c r="G1290" t="s">
        <v>1014</v>
      </c>
      <c r="H1290" t="s">
        <v>27</v>
      </c>
      <c r="I1290">
        <v>124938</v>
      </c>
    </row>
    <row r="1291" spans="7:9" x14ac:dyDescent="0.3">
      <c r="H1291" t="s">
        <v>1944</v>
      </c>
    </row>
    <row r="1292" spans="7:9" x14ac:dyDescent="0.3">
      <c r="G1292" t="s">
        <v>1782</v>
      </c>
    </row>
    <row r="1293" spans="7:9" x14ac:dyDescent="0.3">
      <c r="G1293" t="s">
        <v>339</v>
      </c>
      <c r="H1293" t="s">
        <v>27</v>
      </c>
      <c r="I1293">
        <v>808078</v>
      </c>
    </row>
    <row r="1294" spans="7:9" x14ac:dyDescent="0.3">
      <c r="H1294" t="s">
        <v>1944</v>
      </c>
    </row>
    <row r="1295" spans="7:9" x14ac:dyDescent="0.3">
      <c r="G1295" t="s">
        <v>1783</v>
      </c>
    </row>
    <row r="1296" spans="7:9" x14ac:dyDescent="0.3">
      <c r="G1296" t="s">
        <v>818</v>
      </c>
      <c r="H1296" t="s">
        <v>60</v>
      </c>
      <c r="I1296">
        <v>296348</v>
      </c>
    </row>
    <row r="1297" spans="7:9" x14ac:dyDescent="0.3">
      <c r="H1297" t="s">
        <v>1949</v>
      </c>
    </row>
    <row r="1298" spans="7:9" x14ac:dyDescent="0.3">
      <c r="G1298" t="s">
        <v>1784</v>
      </c>
    </row>
    <row r="1299" spans="7:9" x14ac:dyDescent="0.3">
      <c r="G1299" t="s">
        <v>303</v>
      </c>
      <c r="H1299" t="s">
        <v>68</v>
      </c>
      <c r="I1299">
        <v>501096</v>
      </c>
    </row>
    <row r="1300" spans="7:9" x14ac:dyDescent="0.3">
      <c r="H1300" t="s">
        <v>1948</v>
      </c>
    </row>
    <row r="1301" spans="7:9" x14ac:dyDescent="0.3">
      <c r="G1301" t="s">
        <v>1785</v>
      </c>
    </row>
    <row r="1302" spans="7:9" x14ac:dyDescent="0.3">
      <c r="G1302" t="s">
        <v>768</v>
      </c>
      <c r="H1302" t="s">
        <v>36</v>
      </c>
      <c r="I1302">
        <v>690424</v>
      </c>
    </row>
    <row r="1303" spans="7:9" x14ac:dyDescent="0.3">
      <c r="H1303" t="s">
        <v>1945</v>
      </c>
    </row>
    <row r="1304" spans="7:9" x14ac:dyDescent="0.3">
      <c r="G1304" t="s">
        <v>1786</v>
      </c>
    </row>
    <row r="1305" spans="7:9" x14ac:dyDescent="0.3">
      <c r="G1305" t="s">
        <v>894</v>
      </c>
      <c r="H1305" t="s">
        <v>152</v>
      </c>
      <c r="I1305">
        <v>237374</v>
      </c>
    </row>
    <row r="1306" spans="7:9" x14ac:dyDescent="0.3">
      <c r="H1306" t="s">
        <v>1946</v>
      </c>
    </row>
    <row r="1307" spans="7:9" x14ac:dyDescent="0.3">
      <c r="G1307" t="s">
        <v>1787</v>
      </c>
    </row>
    <row r="1308" spans="7:9" x14ac:dyDescent="0.3">
      <c r="G1308" t="s">
        <v>744</v>
      </c>
      <c r="H1308" t="s">
        <v>60</v>
      </c>
      <c r="I1308">
        <v>326298</v>
      </c>
    </row>
    <row r="1309" spans="7:9" x14ac:dyDescent="0.3">
      <c r="H1309" t="s">
        <v>1949</v>
      </c>
    </row>
    <row r="1310" spans="7:9" x14ac:dyDescent="0.3">
      <c r="G1310" t="s">
        <v>1788</v>
      </c>
    </row>
    <row r="1311" spans="7:9" x14ac:dyDescent="0.3">
      <c r="G1311" t="s">
        <v>435</v>
      </c>
      <c r="H1311" t="s">
        <v>152</v>
      </c>
      <c r="I1311">
        <v>384166</v>
      </c>
    </row>
    <row r="1312" spans="7:9" x14ac:dyDescent="0.3">
      <c r="H1312" t="s">
        <v>1946</v>
      </c>
    </row>
    <row r="1313" spans="7:9" x14ac:dyDescent="0.3">
      <c r="G1313" t="s">
        <v>1789</v>
      </c>
    </row>
    <row r="1314" spans="7:9" x14ac:dyDescent="0.3">
      <c r="G1314" t="s">
        <v>740</v>
      </c>
      <c r="H1314" t="s">
        <v>123</v>
      </c>
      <c r="I1314">
        <v>478250</v>
      </c>
    </row>
    <row r="1315" spans="7:9" x14ac:dyDescent="0.3">
      <c r="H1315" t="s">
        <v>1947</v>
      </c>
    </row>
    <row r="1316" spans="7:9" x14ac:dyDescent="0.3">
      <c r="G1316" t="s">
        <v>1790</v>
      </c>
    </row>
    <row r="1317" spans="7:9" x14ac:dyDescent="0.3">
      <c r="G1317" t="s">
        <v>417</v>
      </c>
      <c r="H1317" t="s">
        <v>60</v>
      </c>
      <c r="I1317">
        <v>440838</v>
      </c>
    </row>
    <row r="1318" spans="7:9" x14ac:dyDescent="0.3">
      <c r="H1318" t="s">
        <v>1949</v>
      </c>
    </row>
    <row r="1319" spans="7:9" x14ac:dyDescent="0.3">
      <c r="G1319" t="s">
        <v>1791</v>
      </c>
    </row>
    <row r="1320" spans="7:9" x14ac:dyDescent="0.3">
      <c r="G1320" t="s">
        <v>680</v>
      </c>
      <c r="H1320" t="s">
        <v>36</v>
      </c>
      <c r="I1320">
        <v>911001</v>
      </c>
    </row>
    <row r="1321" spans="7:9" x14ac:dyDescent="0.3">
      <c r="H1321" t="s">
        <v>1945</v>
      </c>
    </row>
    <row r="1322" spans="7:9" x14ac:dyDescent="0.3">
      <c r="G1322" t="s">
        <v>1792</v>
      </c>
    </row>
    <row r="1323" spans="7:9" x14ac:dyDescent="0.3">
      <c r="G1323" t="s">
        <v>786</v>
      </c>
      <c r="H1323" t="s">
        <v>152</v>
      </c>
      <c r="I1323">
        <v>911234</v>
      </c>
    </row>
    <row r="1324" spans="7:9" x14ac:dyDescent="0.3">
      <c r="H1324" t="s">
        <v>1946</v>
      </c>
    </row>
    <row r="1325" spans="7:9" x14ac:dyDescent="0.3">
      <c r="G1325" t="s">
        <v>1793</v>
      </c>
    </row>
    <row r="1326" spans="7:9" x14ac:dyDescent="0.3">
      <c r="G1326" t="s">
        <v>291</v>
      </c>
      <c r="H1326" t="s">
        <v>68</v>
      </c>
      <c r="I1326">
        <v>168466</v>
      </c>
    </row>
    <row r="1327" spans="7:9" x14ac:dyDescent="0.3">
      <c r="H1327" t="s">
        <v>1948</v>
      </c>
    </row>
    <row r="1328" spans="7:9" x14ac:dyDescent="0.3">
      <c r="G1328" t="s">
        <v>1794</v>
      </c>
    </row>
    <row r="1329" spans="7:9" x14ac:dyDescent="0.3">
      <c r="G1329" t="s">
        <v>355</v>
      </c>
      <c r="H1329" t="s">
        <v>152</v>
      </c>
      <c r="I1329">
        <v>181416</v>
      </c>
    </row>
    <row r="1330" spans="7:9" x14ac:dyDescent="0.3">
      <c r="H1330" t="s">
        <v>1946</v>
      </c>
    </row>
    <row r="1331" spans="7:9" x14ac:dyDescent="0.3">
      <c r="G1331" t="s">
        <v>1795</v>
      </c>
    </row>
    <row r="1332" spans="7:9" x14ac:dyDescent="0.3">
      <c r="G1332" t="s">
        <v>1274</v>
      </c>
      <c r="H1332" t="s">
        <v>27</v>
      </c>
      <c r="I1332">
        <v>452113</v>
      </c>
    </row>
    <row r="1333" spans="7:9" x14ac:dyDescent="0.3">
      <c r="H1333" t="s">
        <v>1944</v>
      </c>
    </row>
    <row r="1334" spans="7:9" x14ac:dyDescent="0.3">
      <c r="G1334" t="s">
        <v>1796</v>
      </c>
    </row>
    <row r="1335" spans="7:9" x14ac:dyDescent="0.3">
      <c r="G1335" t="s">
        <v>132</v>
      </c>
      <c r="H1335" t="s">
        <v>68</v>
      </c>
      <c r="I1335">
        <v>377015</v>
      </c>
    </row>
    <row r="1336" spans="7:9" x14ac:dyDescent="0.3">
      <c r="H1336" t="s">
        <v>1948</v>
      </c>
    </row>
    <row r="1337" spans="7:9" x14ac:dyDescent="0.3">
      <c r="G1337" t="s">
        <v>1797</v>
      </c>
    </row>
    <row r="1338" spans="7:9" x14ac:dyDescent="0.3">
      <c r="G1338" t="s">
        <v>401</v>
      </c>
      <c r="H1338" t="s">
        <v>27</v>
      </c>
      <c r="I1338">
        <v>822073</v>
      </c>
    </row>
    <row r="1339" spans="7:9" x14ac:dyDescent="0.3">
      <c r="H1339" t="s">
        <v>1944</v>
      </c>
    </row>
    <row r="1340" spans="7:9" x14ac:dyDescent="0.3">
      <c r="G1340" t="s">
        <v>1798</v>
      </c>
    </row>
    <row r="1341" spans="7:9" x14ac:dyDescent="0.3">
      <c r="G1341" t="s">
        <v>502</v>
      </c>
      <c r="H1341" t="s">
        <v>152</v>
      </c>
      <c r="I1341">
        <v>392877</v>
      </c>
    </row>
    <row r="1342" spans="7:9" x14ac:dyDescent="0.3">
      <c r="H1342" t="s">
        <v>1946</v>
      </c>
    </row>
    <row r="1343" spans="7:9" x14ac:dyDescent="0.3">
      <c r="G1343" t="s">
        <v>1799</v>
      </c>
    </row>
    <row r="1344" spans="7:9" x14ac:dyDescent="0.3">
      <c r="G1344" t="s">
        <v>226</v>
      </c>
      <c r="H1344" t="s">
        <v>60</v>
      </c>
      <c r="I1344">
        <v>316579</v>
      </c>
    </row>
    <row r="1345" spans="7:9" x14ac:dyDescent="0.3">
      <c r="H1345" t="s">
        <v>1949</v>
      </c>
    </row>
    <row r="1346" spans="7:9" x14ac:dyDescent="0.3">
      <c r="G1346" t="s">
        <v>1800</v>
      </c>
    </row>
    <row r="1347" spans="7:9" x14ac:dyDescent="0.3">
      <c r="G1347" t="s">
        <v>220</v>
      </c>
      <c r="H1347" t="s">
        <v>36</v>
      </c>
      <c r="I1347">
        <v>586797</v>
      </c>
    </row>
    <row r="1348" spans="7:9" x14ac:dyDescent="0.3">
      <c r="H1348" t="s">
        <v>1945</v>
      </c>
    </row>
    <row r="1349" spans="7:9" x14ac:dyDescent="0.3">
      <c r="G1349" t="s">
        <v>1801</v>
      </c>
    </row>
    <row r="1350" spans="7:9" x14ac:dyDescent="0.3">
      <c r="G1350" t="s">
        <v>415</v>
      </c>
      <c r="H1350" t="s">
        <v>54</v>
      </c>
      <c r="I1350">
        <v>450979</v>
      </c>
    </row>
    <row r="1351" spans="7:9" x14ac:dyDescent="0.3">
      <c r="H1351" t="s">
        <v>1950</v>
      </c>
    </row>
    <row r="1352" spans="7:9" x14ac:dyDescent="0.3">
      <c r="G1352" t="s">
        <v>1802</v>
      </c>
    </row>
    <row r="1353" spans="7:9" x14ac:dyDescent="0.3">
      <c r="G1353" t="s">
        <v>1066</v>
      </c>
      <c r="H1353" t="s">
        <v>54</v>
      </c>
      <c r="I1353">
        <v>108497</v>
      </c>
    </row>
    <row r="1354" spans="7:9" x14ac:dyDescent="0.3">
      <c r="H1354" t="s">
        <v>1950</v>
      </c>
    </row>
    <row r="1355" spans="7:9" x14ac:dyDescent="0.3">
      <c r="G1355" t="s">
        <v>1803</v>
      </c>
    </row>
    <row r="1356" spans="7:9" x14ac:dyDescent="0.3">
      <c r="G1356" t="s">
        <v>1270</v>
      </c>
      <c r="H1356" t="s">
        <v>36</v>
      </c>
      <c r="I1356">
        <v>626310</v>
      </c>
    </row>
    <row r="1357" spans="7:9" x14ac:dyDescent="0.3">
      <c r="H1357" t="s">
        <v>1945</v>
      </c>
    </row>
    <row r="1358" spans="7:9" x14ac:dyDescent="0.3">
      <c r="G1358" t="s">
        <v>1804</v>
      </c>
    </row>
    <row r="1359" spans="7:9" x14ac:dyDescent="0.3">
      <c r="G1359" t="s">
        <v>465</v>
      </c>
      <c r="H1359" t="s">
        <v>152</v>
      </c>
      <c r="I1359">
        <v>145931</v>
      </c>
    </row>
    <row r="1360" spans="7:9" x14ac:dyDescent="0.3">
      <c r="H1360" t="s">
        <v>1946</v>
      </c>
    </row>
    <row r="1361" spans="7:9" x14ac:dyDescent="0.3">
      <c r="G1361" t="s">
        <v>1805</v>
      </c>
    </row>
    <row r="1362" spans="7:9" x14ac:dyDescent="0.3">
      <c r="G1362" t="s">
        <v>1224</v>
      </c>
      <c r="H1362" t="s">
        <v>27</v>
      </c>
      <c r="I1362">
        <v>453486</v>
      </c>
    </row>
    <row r="1363" spans="7:9" x14ac:dyDescent="0.3">
      <c r="H1363" t="s">
        <v>1944</v>
      </c>
    </row>
    <row r="1364" spans="7:9" x14ac:dyDescent="0.3">
      <c r="G1364" t="s">
        <v>1806</v>
      </c>
    </row>
    <row r="1365" spans="7:9" x14ac:dyDescent="0.3">
      <c r="G1365" t="s">
        <v>508</v>
      </c>
      <c r="H1365" t="s">
        <v>123</v>
      </c>
      <c r="I1365">
        <v>820034</v>
      </c>
    </row>
    <row r="1366" spans="7:9" x14ac:dyDescent="0.3">
      <c r="H1366" t="s">
        <v>1947</v>
      </c>
    </row>
    <row r="1367" spans="7:9" x14ac:dyDescent="0.3">
      <c r="G1367" t="s">
        <v>1807</v>
      </c>
    </row>
    <row r="1368" spans="7:9" x14ac:dyDescent="0.3">
      <c r="G1368" t="s">
        <v>904</v>
      </c>
      <c r="H1368" t="s">
        <v>123</v>
      </c>
      <c r="I1368">
        <v>62406</v>
      </c>
    </row>
    <row r="1369" spans="7:9" x14ac:dyDescent="0.3">
      <c r="H1369" t="s">
        <v>1947</v>
      </c>
    </row>
    <row r="1370" spans="7:9" x14ac:dyDescent="0.3">
      <c r="G1370" t="s">
        <v>1808</v>
      </c>
    </row>
    <row r="1371" spans="7:9" x14ac:dyDescent="0.3">
      <c r="G1371" t="s">
        <v>1070</v>
      </c>
      <c r="H1371" t="s">
        <v>60</v>
      </c>
      <c r="I1371">
        <v>415307</v>
      </c>
    </row>
    <row r="1372" spans="7:9" x14ac:dyDescent="0.3">
      <c r="H1372" t="s">
        <v>1949</v>
      </c>
    </row>
    <row r="1373" spans="7:9" x14ac:dyDescent="0.3">
      <c r="G1373" t="s">
        <v>1809</v>
      </c>
    </row>
    <row r="1374" spans="7:9" x14ac:dyDescent="0.3">
      <c r="G1374" t="s">
        <v>630</v>
      </c>
      <c r="H1374" t="s">
        <v>68</v>
      </c>
      <c r="I1374">
        <v>477719</v>
      </c>
    </row>
    <row r="1375" spans="7:9" x14ac:dyDescent="0.3">
      <c r="H1375" t="s">
        <v>1948</v>
      </c>
    </row>
    <row r="1376" spans="7:9" x14ac:dyDescent="0.3">
      <c r="G1376" t="s">
        <v>1810</v>
      </c>
    </row>
    <row r="1377" spans="7:9" x14ac:dyDescent="0.3">
      <c r="G1377" t="s">
        <v>467</v>
      </c>
      <c r="H1377" t="s">
        <v>152</v>
      </c>
      <c r="I1377">
        <v>292573</v>
      </c>
    </row>
    <row r="1378" spans="7:9" x14ac:dyDescent="0.3">
      <c r="H1378" t="s">
        <v>1946</v>
      </c>
    </row>
    <row r="1379" spans="7:9" x14ac:dyDescent="0.3">
      <c r="G1379" t="s">
        <v>1811</v>
      </c>
    </row>
    <row r="1380" spans="7:9" x14ac:dyDescent="0.3">
      <c r="G1380" t="s">
        <v>684</v>
      </c>
      <c r="H1380" t="s">
        <v>123</v>
      </c>
      <c r="I1380">
        <v>949954</v>
      </c>
    </row>
    <row r="1381" spans="7:9" x14ac:dyDescent="0.3">
      <c r="H1381" t="s">
        <v>1947</v>
      </c>
    </row>
    <row r="1382" spans="7:9" x14ac:dyDescent="0.3">
      <c r="G1382" t="s">
        <v>1812</v>
      </c>
    </row>
    <row r="1383" spans="7:9" x14ac:dyDescent="0.3">
      <c r="G1383" t="s">
        <v>654</v>
      </c>
      <c r="H1383" t="s">
        <v>36</v>
      </c>
      <c r="I1383">
        <v>813564</v>
      </c>
    </row>
    <row r="1384" spans="7:9" x14ac:dyDescent="0.3">
      <c r="H1384" t="s">
        <v>1945</v>
      </c>
    </row>
    <row r="1385" spans="7:9" x14ac:dyDescent="0.3">
      <c r="G1385" t="s">
        <v>1813</v>
      </c>
    </row>
    <row r="1386" spans="7:9" x14ac:dyDescent="0.3">
      <c r="G1386" t="s">
        <v>1260</v>
      </c>
      <c r="H1386" t="s">
        <v>123</v>
      </c>
      <c r="I1386">
        <v>82975</v>
      </c>
    </row>
    <row r="1387" spans="7:9" x14ac:dyDescent="0.3">
      <c r="H1387" t="s">
        <v>1947</v>
      </c>
    </row>
    <row r="1388" spans="7:9" x14ac:dyDescent="0.3">
      <c r="G1388" t="s">
        <v>1814</v>
      </c>
    </row>
    <row r="1389" spans="7:9" x14ac:dyDescent="0.3">
      <c r="G1389" t="s">
        <v>259</v>
      </c>
      <c r="H1389" t="s">
        <v>123</v>
      </c>
      <c r="I1389">
        <v>811959</v>
      </c>
    </row>
    <row r="1390" spans="7:9" x14ac:dyDescent="0.3">
      <c r="H1390" t="s">
        <v>1947</v>
      </c>
    </row>
    <row r="1391" spans="7:9" x14ac:dyDescent="0.3">
      <c r="G1391" t="s">
        <v>1815</v>
      </c>
    </row>
    <row r="1392" spans="7:9" x14ac:dyDescent="0.3">
      <c r="G1392" t="s">
        <v>576</v>
      </c>
      <c r="H1392" t="s">
        <v>27</v>
      </c>
      <c r="I1392">
        <v>643803</v>
      </c>
    </row>
    <row r="1393" spans="7:9" x14ac:dyDescent="0.3">
      <c r="H1393" t="s">
        <v>1944</v>
      </c>
    </row>
    <row r="1394" spans="7:9" x14ac:dyDescent="0.3">
      <c r="G1394" t="s">
        <v>1816</v>
      </c>
    </row>
    <row r="1395" spans="7:9" x14ac:dyDescent="0.3">
      <c r="G1395" t="s">
        <v>494</v>
      </c>
      <c r="H1395" t="s">
        <v>54</v>
      </c>
      <c r="I1395">
        <v>434953</v>
      </c>
    </row>
    <row r="1396" spans="7:9" x14ac:dyDescent="0.3">
      <c r="H1396" t="s">
        <v>1950</v>
      </c>
    </row>
    <row r="1397" spans="7:9" x14ac:dyDescent="0.3">
      <c r="G1397" t="s">
        <v>1817</v>
      </c>
    </row>
    <row r="1398" spans="7:9" x14ac:dyDescent="0.3">
      <c r="G1398" t="s">
        <v>966</v>
      </c>
      <c r="H1398" t="s">
        <v>27</v>
      </c>
      <c r="I1398">
        <v>242038</v>
      </c>
    </row>
    <row r="1399" spans="7:9" x14ac:dyDescent="0.3">
      <c r="H1399" t="s">
        <v>1944</v>
      </c>
    </row>
    <row r="1400" spans="7:9" x14ac:dyDescent="0.3">
      <c r="G1400" t="s">
        <v>1818</v>
      </c>
    </row>
    <row r="1401" spans="7:9" x14ac:dyDescent="0.3">
      <c r="G1401" t="s">
        <v>844</v>
      </c>
      <c r="H1401" t="s">
        <v>60</v>
      </c>
      <c r="I1401">
        <v>315277</v>
      </c>
    </row>
    <row r="1402" spans="7:9" x14ac:dyDescent="0.3">
      <c r="H1402" t="s">
        <v>1949</v>
      </c>
    </row>
    <row r="1403" spans="7:9" x14ac:dyDescent="0.3">
      <c r="G1403" t="s">
        <v>1819</v>
      </c>
    </row>
    <row r="1404" spans="7:9" x14ac:dyDescent="0.3">
      <c r="G1404" t="s">
        <v>582</v>
      </c>
      <c r="H1404" t="s">
        <v>36</v>
      </c>
      <c r="I1404">
        <v>89174</v>
      </c>
    </row>
    <row r="1405" spans="7:9" x14ac:dyDescent="0.3">
      <c r="H1405" t="s">
        <v>1945</v>
      </c>
    </row>
    <row r="1406" spans="7:9" x14ac:dyDescent="0.3">
      <c r="G1406" t="s">
        <v>1820</v>
      </c>
    </row>
    <row r="1407" spans="7:9" x14ac:dyDescent="0.3">
      <c r="G1407" t="s">
        <v>530</v>
      </c>
      <c r="H1407" t="s">
        <v>36</v>
      </c>
      <c r="I1407">
        <v>146693</v>
      </c>
    </row>
    <row r="1408" spans="7:9" x14ac:dyDescent="0.3">
      <c r="H1408" t="s">
        <v>1945</v>
      </c>
    </row>
    <row r="1409" spans="7:9" x14ac:dyDescent="0.3">
      <c r="G1409" t="s">
        <v>1821</v>
      </c>
    </row>
    <row r="1410" spans="7:9" x14ac:dyDescent="0.3">
      <c r="G1410" t="s">
        <v>1028</v>
      </c>
      <c r="H1410" t="s">
        <v>60</v>
      </c>
      <c r="I1410">
        <v>791883</v>
      </c>
    </row>
    <row r="1411" spans="7:9" x14ac:dyDescent="0.3">
      <c r="H1411" t="s">
        <v>1949</v>
      </c>
    </row>
    <row r="1412" spans="7:9" x14ac:dyDescent="0.3">
      <c r="G1412" t="s">
        <v>1822</v>
      </c>
    </row>
    <row r="1413" spans="7:9" x14ac:dyDescent="0.3">
      <c r="G1413" t="s">
        <v>1254</v>
      </c>
      <c r="H1413" t="s">
        <v>152</v>
      </c>
      <c r="I1413">
        <v>537065</v>
      </c>
    </row>
    <row r="1414" spans="7:9" x14ac:dyDescent="0.3">
      <c r="H1414" t="s">
        <v>1946</v>
      </c>
    </row>
    <row r="1415" spans="7:9" x14ac:dyDescent="0.3">
      <c r="G1415" t="s">
        <v>1823</v>
      </c>
    </row>
    <row r="1416" spans="7:9" x14ac:dyDescent="0.3">
      <c r="G1416" t="s">
        <v>586</v>
      </c>
      <c r="H1416" t="s">
        <v>68</v>
      </c>
      <c r="I1416">
        <v>148520</v>
      </c>
    </row>
    <row r="1417" spans="7:9" x14ac:dyDescent="0.3">
      <c r="H1417" t="s">
        <v>1948</v>
      </c>
    </row>
    <row r="1418" spans="7:9" x14ac:dyDescent="0.3">
      <c r="G1418" t="s">
        <v>1824</v>
      </c>
    </row>
    <row r="1419" spans="7:9" x14ac:dyDescent="0.3">
      <c r="G1419" t="s">
        <v>301</v>
      </c>
      <c r="H1419" t="s">
        <v>123</v>
      </c>
      <c r="I1419">
        <v>727290</v>
      </c>
    </row>
    <row r="1420" spans="7:9" x14ac:dyDescent="0.3">
      <c r="H1420" t="s">
        <v>1947</v>
      </c>
    </row>
    <row r="1421" spans="7:9" x14ac:dyDescent="0.3">
      <c r="G1421" t="s">
        <v>1825</v>
      </c>
    </row>
    <row r="1422" spans="7:9" x14ac:dyDescent="0.3">
      <c r="G1422" t="s">
        <v>692</v>
      </c>
      <c r="H1422" t="s">
        <v>68</v>
      </c>
      <c r="I1422">
        <v>415612</v>
      </c>
    </row>
    <row r="1423" spans="7:9" x14ac:dyDescent="0.3">
      <c r="H1423" t="s">
        <v>1948</v>
      </c>
    </row>
    <row r="1424" spans="7:9" x14ac:dyDescent="0.3">
      <c r="G1424" t="s">
        <v>1826</v>
      </c>
    </row>
    <row r="1425" spans="7:9" x14ac:dyDescent="0.3">
      <c r="G1425" t="s">
        <v>986</v>
      </c>
      <c r="H1425" t="s">
        <v>27</v>
      </c>
      <c r="I1425">
        <v>287686</v>
      </c>
    </row>
    <row r="1426" spans="7:9" x14ac:dyDescent="0.3">
      <c r="H1426" t="s">
        <v>1944</v>
      </c>
    </row>
    <row r="1427" spans="7:9" x14ac:dyDescent="0.3">
      <c r="G1427" t="s">
        <v>1827</v>
      </c>
    </row>
    <row r="1428" spans="7:9" x14ac:dyDescent="0.3">
      <c r="G1428" t="s">
        <v>377</v>
      </c>
      <c r="H1428" t="s">
        <v>27</v>
      </c>
      <c r="I1428">
        <v>604667</v>
      </c>
    </row>
    <row r="1429" spans="7:9" x14ac:dyDescent="0.3">
      <c r="H1429" t="s">
        <v>1944</v>
      </c>
    </row>
    <row r="1430" spans="7:9" x14ac:dyDescent="0.3">
      <c r="G1430" t="s">
        <v>1828</v>
      </c>
    </row>
    <row r="1431" spans="7:9" x14ac:dyDescent="0.3">
      <c r="G1431" t="s">
        <v>504</v>
      </c>
      <c r="H1431" t="s">
        <v>27</v>
      </c>
      <c r="I1431">
        <v>414096</v>
      </c>
    </row>
    <row r="1432" spans="7:9" x14ac:dyDescent="0.3">
      <c r="H1432" t="s">
        <v>1944</v>
      </c>
    </row>
    <row r="1433" spans="7:9" x14ac:dyDescent="0.3">
      <c r="G1433" t="s">
        <v>1829</v>
      </c>
    </row>
    <row r="1434" spans="7:9" x14ac:dyDescent="0.3">
      <c r="G1434" t="s">
        <v>1296</v>
      </c>
      <c r="H1434" t="s">
        <v>152</v>
      </c>
      <c r="I1434">
        <v>350436</v>
      </c>
    </row>
    <row r="1435" spans="7:9" x14ac:dyDescent="0.3">
      <c r="H1435" t="s">
        <v>1946</v>
      </c>
    </row>
    <row r="1436" spans="7:9" x14ac:dyDescent="0.3">
      <c r="G1436" t="s">
        <v>1830</v>
      </c>
    </row>
    <row r="1437" spans="7:9" x14ac:dyDescent="0.3">
      <c r="G1437" t="s">
        <v>461</v>
      </c>
      <c r="H1437" t="s">
        <v>54</v>
      </c>
      <c r="I1437">
        <v>151131</v>
      </c>
    </row>
    <row r="1438" spans="7:9" x14ac:dyDescent="0.3">
      <c r="H1438" t="s">
        <v>1950</v>
      </c>
    </row>
    <row r="1439" spans="7:9" x14ac:dyDescent="0.3">
      <c r="G1439" t="s">
        <v>1831</v>
      </c>
    </row>
    <row r="1440" spans="7:9" x14ac:dyDescent="0.3">
      <c r="G1440" t="s">
        <v>550</v>
      </c>
      <c r="H1440" t="s">
        <v>60</v>
      </c>
      <c r="I1440">
        <v>857160</v>
      </c>
    </row>
    <row r="1441" spans="7:9" x14ac:dyDescent="0.3">
      <c r="H1441" t="s">
        <v>1949</v>
      </c>
    </row>
    <row r="1442" spans="7:9" x14ac:dyDescent="0.3">
      <c r="G1442" t="s">
        <v>1832</v>
      </c>
    </row>
    <row r="1443" spans="7:9" x14ac:dyDescent="0.3">
      <c r="G1443" t="s">
        <v>512</v>
      </c>
      <c r="H1443" t="s">
        <v>68</v>
      </c>
      <c r="I1443">
        <v>188014</v>
      </c>
    </row>
    <row r="1444" spans="7:9" x14ac:dyDescent="0.3">
      <c r="H1444" t="s">
        <v>1948</v>
      </c>
    </row>
    <row r="1445" spans="7:9" x14ac:dyDescent="0.3">
      <c r="G1445" t="s">
        <v>1833</v>
      </c>
    </row>
    <row r="1446" spans="7:9" x14ac:dyDescent="0.3">
      <c r="G1446" t="s">
        <v>926</v>
      </c>
      <c r="H1446" t="s">
        <v>36</v>
      </c>
      <c r="I1446">
        <v>381103</v>
      </c>
    </row>
    <row r="1447" spans="7:9" x14ac:dyDescent="0.3">
      <c r="H1447" t="s">
        <v>1945</v>
      </c>
    </row>
    <row r="1448" spans="7:9" x14ac:dyDescent="0.3">
      <c r="G1448" t="s">
        <v>1834</v>
      </c>
    </row>
    <row r="1449" spans="7:9" x14ac:dyDescent="0.3">
      <c r="G1449" t="s">
        <v>481</v>
      </c>
      <c r="H1449" t="s">
        <v>54</v>
      </c>
      <c r="I1449">
        <v>507783</v>
      </c>
    </row>
    <row r="1450" spans="7:9" x14ac:dyDescent="0.3">
      <c r="H1450" t="s">
        <v>1950</v>
      </c>
    </row>
    <row r="1451" spans="7:9" x14ac:dyDescent="0.3">
      <c r="G1451" t="s">
        <v>1835</v>
      </c>
    </row>
    <row r="1452" spans="7:9" x14ac:dyDescent="0.3">
      <c r="G1452" t="s">
        <v>810</v>
      </c>
      <c r="H1452" t="s">
        <v>54</v>
      </c>
      <c r="I1452">
        <v>260896</v>
      </c>
    </row>
    <row r="1453" spans="7:9" x14ac:dyDescent="0.3">
      <c r="H1453" t="s">
        <v>1950</v>
      </c>
    </row>
    <row r="1454" spans="7:9" x14ac:dyDescent="0.3">
      <c r="G1454" t="s">
        <v>1836</v>
      </c>
    </row>
    <row r="1455" spans="7:9" x14ac:dyDescent="0.3">
      <c r="G1455" t="s">
        <v>678</v>
      </c>
      <c r="H1455" t="s">
        <v>123</v>
      </c>
      <c r="I1455">
        <v>729249</v>
      </c>
    </row>
    <row r="1456" spans="7:9" x14ac:dyDescent="0.3">
      <c r="H1456" t="s">
        <v>1947</v>
      </c>
    </row>
    <row r="1457" spans="7:9" x14ac:dyDescent="0.3">
      <c r="G1457" t="s">
        <v>1837</v>
      </c>
    </row>
    <row r="1458" spans="7:9" x14ac:dyDescent="0.3">
      <c r="G1458" t="s">
        <v>658</v>
      </c>
      <c r="H1458" t="s">
        <v>68</v>
      </c>
      <c r="I1458">
        <v>222459</v>
      </c>
    </row>
    <row r="1459" spans="7:9" x14ac:dyDescent="0.3">
      <c r="H1459" t="s">
        <v>1948</v>
      </c>
    </row>
    <row r="1460" spans="7:9" x14ac:dyDescent="0.3">
      <c r="G1460" t="s">
        <v>1838</v>
      </c>
    </row>
    <row r="1461" spans="7:9" x14ac:dyDescent="0.3">
      <c r="G1461" t="s">
        <v>1192</v>
      </c>
      <c r="H1461" t="s">
        <v>36</v>
      </c>
      <c r="I1461">
        <v>221056</v>
      </c>
    </row>
    <row r="1462" spans="7:9" x14ac:dyDescent="0.3">
      <c r="H1462" t="s">
        <v>1945</v>
      </c>
    </row>
    <row r="1463" spans="7:9" x14ac:dyDescent="0.3">
      <c r="G1463" t="s">
        <v>1839</v>
      </c>
    </row>
    <row r="1464" spans="7:9" x14ac:dyDescent="0.3">
      <c r="G1464" t="s">
        <v>1170</v>
      </c>
      <c r="H1464" t="s">
        <v>36</v>
      </c>
      <c r="I1464">
        <v>45035</v>
      </c>
    </row>
    <row r="1465" spans="7:9" x14ac:dyDescent="0.3">
      <c r="H1465" t="s">
        <v>1945</v>
      </c>
    </row>
    <row r="1466" spans="7:9" x14ac:dyDescent="0.3">
      <c r="G1466" t="s">
        <v>1840</v>
      </c>
    </row>
    <row r="1467" spans="7:9" x14ac:dyDescent="0.3">
      <c r="G1467" t="s">
        <v>982</v>
      </c>
      <c r="H1467" t="s">
        <v>60</v>
      </c>
      <c r="I1467">
        <v>118483</v>
      </c>
    </row>
    <row r="1468" spans="7:9" x14ac:dyDescent="0.3">
      <c r="H1468" t="s">
        <v>1949</v>
      </c>
    </row>
    <row r="1469" spans="7:9" x14ac:dyDescent="0.3">
      <c r="G1469" t="s">
        <v>1841</v>
      </c>
    </row>
    <row r="1470" spans="7:9" x14ac:dyDescent="0.3">
      <c r="G1470" t="s">
        <v>1072</v>
      </c>
      <c r="H1470" t="s">
        <v>36</v>
      </c>
      <c r="I1470">
        <v>13826</v>
      </c>
    </row>
    <row r="1471" spans="7:9" x14ac:dyDescent="0.3">
      <c r="H1471" t="s">
        <v>1945</v>
      </c>
    </row>
    <row r="1472" spans="7:9" x14ac:dyDescent="0.3">
      <c r="G1472" t="s">
        <v>1842</v>
      </c>
    </row>
    <row r="1473" spans="7:9" x14ac:dyDescent="0.3">
      <c r="G1473" t="s">
        <v>756</v>
      </c>
      <c r="H1473" t="s">
        <v>27</v>
      </c>
      <c r="I1473">
        <v>313253</v>
      </c>
    </row>
    <row r="1474" spans="7:9" x14ac:dyDescent="0.3">
      <c r="H1474" t="s">
        <v>1944</v>
      </c>
    </row>
    <row r="1475" spans="7:9" x14ac:dyDescent="0.3">
      <c r="G1475" t="s">
        <v>1843</v>
      </c>
    </row>
    <row r="1476" spans="7:9" x14ac:dyDescent="0.3">
      <c r="G1476" t="s">
        <v>249</v>
      </c>
      <c r="H1476" t="s">
        <v>68</v>
      </c>
      <c r="I1476">
        <v>613486</v>
      </c>
    </row>
    <row r="1477" spans="7:9" x14ac:dyDescent="0.3">
      <c r="H1477" t="s">
        <v>1948</v>
      </c>
    </row>
    <row r="1478" spans="7:9" x14ac:dyDescent="0.3">
      <c r="G1478" t="s">
        <v>1844</v>
      </c>
    </row>
    <row r="1479" spans="7:9" x14ac:dyDescent="0.3">
      <c r="G1479" t="s">
        <v>1024</v>
      </c>
      <c r="H1479" t="s">
        <v>60</v>
      </c>
      <c r="I1479">
        <v>604918</v>
      </c>
    </row>
    <row r="1480" spans="7:9" x14ac:dyDescent="0.3">
      <c r="H1480" t="s">
        <v>1949</v>
      </c>
    </row>
    <row r="1481" spans="7:9" x14ac:dyDescent="0.3">
      <c r="G1481" t="s">
        <v>1845</v>
      </c>
    </row>
    <row r="1482" spans="7:9" x14ac:dyDescent="0.3">
      <c r="G1482" t="s">
        <v>772</v>
      </c>
      <c r="H1482" t="s">
        <v>54</v>
      </c>
      <c r="I1482">
        <v>367146</v>
      </c>
    </row>
    <row r="1483" spans="7:9" x14ac:dyDescent="0.3">
      <c r="H1483" t="s">
        <v>1950</v>
      </c>
    </row>
    <row r="1484" spans="7:9" x14ac:dyDescent="0.3">
      <c r="G1484" t="s">
        <v>1846</v>
      </c>
    </row>
    <row r="1485" spans="7:9" x14ac:dyDescent="0.3">
      <c r="G1485" t="s">
        <v>1158</v>
      </c>
      <c r="H1485" t="s">
        <v>54</v>
      </c>
      <c r="I1485">
        <v>800013</v>
      </c>
    </row>
    <row r="1486" spans="7:9" x14ac:dyDescent="0.3">
      <c r="H1486" t="s">
        <v>1950</v>
      </c>
    </row>
    <row r="1487" spans="7:9" x14ac:dyDescent="0.3">
      <c r="G1487" t="s">
        <v>1847</v>
      </c>
    </row>
    <row r="1488" spans="7:9" x14ac:dyDescent="0.3">
      <c r="G1488" t="s">
        <v>626</v>
      </c>
      <c r="H1488" t="s">
        <v>36</v>
      </c>
      <c r="I1488">
        <v>181741</v>
      </c>
    </row>
    <row r="1489" spans="7:9" x14ac:dyDescent="0.3">
      <c r="H1489" t="s">
        <v>1945</v>
      </c>
    </row>
    <row r="1490" spans="7:9" x14ac:dyDescent="0.3">
      <c r="G1490" t="s">
        <v>1848</v>
      </c>
    </row>
    <row r="1491" spans="7:9" x14ac:dyDescent="0.3">
      <c r="G1491" t="s">
        <v>285</v>
      </c>
      <c r="H1491" t="s">
        <v>27</v>
      </c>
      <c r="I1491">
        <v>513373</v>
      </c>
    </row>
    <row r="1492" spans="7:9" x14ac:dyDescent="0.3">
      <c r="H1492" t="s">
        <v>1944</v>
      </c>
    </row>
    <row r="1493" spans="7:9" x14ac:dyDescent="0.3">
      <c r="G1493" t="s">
        <v>1849</v>
      </c>
    </row>
    <row r="1494" spans="7:9" x14ac:dyDescent="0.3">
      <c r="G1494" t="s">
        <v>423</v>
      </c>
      <c r="H1494" t="s">
        <v>123</v>
      </c>
      <c r="I1494">
        <v>100607</v>
      </c>
    </row>
    <row r="1495" spans="7:9" x14ac:dyDescent="0.3">
      <c r="H1495" t="s">
        <v>1947</v>
      </c>
    </row>
    <row r="1496" spans="7:9" x14ac:dyDescent="0.3">
      <c r="G1496" t="s">
        <v>1850</v>
      </c>
    </row>
    <row r="1497" spans="7:9" x14ac:dyDescent="0.3">
      <c r="G1497" t="s">
        <v>638</v>
      </c>
      <c r="H1497" t="s">
        <v>68</v>
      </c>
      <c r="I1497">
        <v>139541</v>
      </c>
    </row>
    <row r="1498" spans="7:9" x14ac:dyDescent="0.3">
      <c r="H1498" t="s">
        <v>1948</v>
      </c>
    </row>
    <row r="1499" spans="7:9" x14ac:dyDescent="0.3">
      <c r="G1499" t="s">
        <v>1851</v>
      </c>
    </row>
    <row r="1500" spans="7:9" x14ac:dyDescent="0.3">
      <c r="G1500" t="s">
        <v>1046</v>
      </c>
      <c r="H1500" t="s">
        <v>68</v>
      </c>
      <c r="I1500">
        <v>376967</v>
      </c>
    </row>
    <row r="1501" spans="7:9" x14ac:dyDescent="0.3">
      <c r="H1501" t="s">
        <v>1948</v>
      </c>
    </row>
    <row r="1502" spans="7:9" x14ac:dyDescent="0.3">
      <c r="G1502" t="s">
        <v>1852</v>
      </c>
    </row>
    <row r="1503" spans="7:9" x14ac:dyDescent="0.3">
      <c r="G1503" t="s">
        <v>159</v>
      </c>
      <c r="H1503" t="s">
        <v>152</v>
      </c>
      <c r="I1503">
        <v>196492</v>
      </c>
    </row>
    <row r="1504" spans="7:9" x14ac:dyDescent="0.3">
      <c r="H1504" t="s">
        <v>1946</v>
      </c>
    </row>
    <row r="1505" spans="7:9" x14ac:dyDescent="0.3">
      <c r="G1505" t="s">
        <v>1853</v>
      </c>
    </row>
    <row r="1506" spans="7:9" x14ac:dyDescent="0.3">
      <c r="G1506" t="s">
        <v>826</v>
      </c>
      <c r="H1506" t="s">
        <v>152</v>
      </c>
      <c r="I1506">
        <v>576851</v>
      </c>
    </row>
    <row r="1507" spans="7:9" x14ac:dyDescent="0.3">
      <c r="H1507" t="s">
        <v>1946</v>
      </c>
    </row>
    <row r="1508" spans="7:9" x14ac:dyDescent="0.3">
      <c r="G1508" t="s">
        <v>1854</v>
      </c>
    </row>
    <row r="1509" spans="7:9" x14ac:dyDescent="0.3">
      <c r="G1509" t="s">
        <v>379</v>
      </c>
      <c r="H1509" t="s">
        <v>123</v>
      </c>
      <c r="I1509">
        <v>811952</v>
      </c>
    </row>
    <row r="1510" spans="7:9" x14ac:dyDescent="0.3">
      <c r="H1510" t="s">
        <v>1947</v>
      </c>
    </row>
    <row r="1511" spans="7:9" x14ac:dyDescent="0.3">
      <c r="G1511" t="s">
        <v>1855</v>
      </c>
    </row>
    <row r="1512" spans="7:9" x14ac:dyDescent="0.3">
      <c r="G1512" t="s">
        <v>455</v>
      </c>
      <c r="H1512" t="s">
        <v>68</v>
      </c>
      <c r="I1512">
        <v>580377</v>
      </c>
    </row>
    <row r="1513" spans="7:9" x14ac:dyDescent="0.3">
      <c r="H1513" t="s">
        <v>1948</v>
      </c>
    </row>
    <row r="1514" spans="7:9" x14ac:dyDescent="0.3">
      <c r="G1514" t="s">
        <v>1856</v>
      </c>
    </row>
    <row r="1515" spans="7:9" x14ac:dyDescent="0.3">
      <c r="G1515" t="s">
        <v>1122</v>
      </c>
      <c r="H1515" t="s">
        <v>68</v>
      </c>
      <c r="I1515">
        <v>146051</v>
      </c>
    </row>
    <row r="1516" spans="7:9" x14ac:dyDescent="0.3">
      <c r="H1516" t="s">
        <v>1948</v>
      </c>
    </row>
    <row r="1517" spans="7:9" x14ac:dyDescent="0.3">
      <c r="G1517" t="s">
        <v>1857</v>
      </c>
    </row>
    <row r="1518" spans="7:9" x14ac:dyDescent="0.3">
      <c r="G1518" t="s">
        <v>1006</v>
      </c>
      <c r="H1518" t="s">
        <v>27</v>
      </c>
      <c r="I1518">
        <v>509106</v>
      </c>
    </row>
    <row r="1519" spans="7:9" x14ac:dyDescent="0.3">
      <c r="H1519" t="s">
        <v>1944</v>
      </c>
    </row>
    <row r="1520" spans="7:9" x14ac:dyDescent="0.3">
      <c r="G1520" t="s">
        <v>1858</v>
      </c>
    </row>
    <row r="1521" spans="7:9" x14ac:dyDescent="0.3">
      <c r="G1521" t="s">
        <v>798</v>
      </c>
      <c r="H1521" t="s">
        <v>60</v>
      </c>
      <c r="I1521">
        <v>698029</v>
      </c>
    </row>
    <row r="1522" spans="7:9" x14ac:dyDescent="0.3">
      <c r="H1522" t="s">
        <v>1949</v>
      </c>
    </row>
    <row r="1523" spans="7:9" x14ac:dyDescent="0.3">
      <c r="G1523" t="s">
        <v>1859</v>
      </c>
    </row>
    <row r="1524" spans="7:9" x14ac:dyDescent="0.3">
      <c r="G1524" t="s">
        <v>361</v>
      </c>
      <c r="H1524" t="s">
        <v>123</v>
      </c>
      <c r="I1524">
        <v>494246</v>
      </c>
    </row>
    <row r="1525" spans="7:9" x14ac:dyDescent="0.3">
      <c r="H1525" t="s">
        <v>1947</v>
      </c>
    </row>
    <row r="1526" spans="7:9" x14ac:dyDescent="0.3">
      <c r="G1526" t="s">
        <v>1860</v>
      </c>
    </row>
    <row r="1527" spans="7:9" x14ac:dyDescent="0.3">
      <c r="G1527" t="s">
        <v>327</v>
      </c>
      <c r="H1527" t="s">
        <v>152</v>
      </c>
      <c r="I1527">
        <v>175218</v>
      </c>
    </row>
    <row r="1528" spans="7:9" x14ac:dyDescent="0.3">
      <c r="H1528" t="s">
        <v>1946</v>
      </c>
    </row>
    <row r="1529" spans="7:9" x14ac:dyDescent="0.3">
      <c r="G1529" t="s">
        <v>1861</v>
      </c>
    </row>
    <row r="1530" spans="7:9" x14ac:dyDescent="0.3">
      <c r="G1530" t="s">
        <v>1012</v>
      </c>
      <c r="H1530" t="s">
        <v>36</v>
      </c>
      <c r="I1530">
        <v>632450</v>
      </c>
    </row>
    <row r="1531" spans="7:9" x14ac:dyDescent="0.3">
      <c r="H1531" t="s">
        <v>1945</v>
      </c>
    </row>
    <row r="1532" spans="7:9" x14ac:dyDescent="0.3">
      <c r="G1532" t="s">
        <v>1862</v>
      </c>
    </row>
    <row r="1533" spans="7:9" x14ac:dyDescent="0.3">
      <c r="G1533" t="s">
        <v>682</v>
      </c>
      <c r="H1533" t="s">
        <v>68</v>
      </c>
      <c r="I1533">
        <v>798530</v>
      </c>
    </row>
    <row r="1534" spans="7:9" x14ac:dyDescent="0.3">
      <c r="H1534" t="s">
        <v>1948</v>
      </c>
    </row>
    <row r="1535" spans="7:9" x14ac:dyDescent="0.3">
      <c r="G1535" t="s">
        <v>1863</v>
      </c>
    </row>
    <row r="1536" spans="7:9" x14ac:dyDescent="0.3">
      <c r="G1536" t="s">
        <v>1172</v>
      </c>
      <c r="H1536" t="s">
        <v>60</v>
      </c>
      <c r="I1536">
        <v>661258</v>
      </c>
    </row>
    <row r="1537" spans="7:9" x14ac:dyDescent="0.3">
      <c r="H1537" t="s">
        <v>1949</v>
      </c>
    </row>
    <row r="1538" spans="7:9" x14ac:dyDescent="0.3">
      <c r="G1538" t="s">
        <v>1864</v>
      </c>
    </row>
    <row r="1539" spans="7:9" x14ac:dyDescent="0.3">
      <c r="G1539" t="s">
        <v>726</v>
      </c>
      <c r="H1539" t="s">
        <v>27</v>
      </c>
      <c r="I1539">
        <v>871006</v>
      </c>
    </row>
    <row r="1540" spans="7:9" x14ac:dyDescent="0.3">
      <c r="H1540" t="s">
        <v>1944</v>
      </c>
    </row>
    <row r="1541" spans="7:9" x14ac:dyDescent="0.3">
      <c r="G1541" t="s">
        <v>1865</v>
      </c>
    </row>
    <row r="1542" spans="7:9" x14ac:dyDescent="0.3">
      <c r="G1542" t="s">
        <v>389</v>
      </c>
      <c r="H1542" t="s">
        <v>152</v>
      </c>
      <c r="I1542">
        <v>408452</v>
      </c>
    </row>
    <row r="1543" spans="7:9" x14ac:dyDescent="0.3">
      <c r="H1543" t="s">
        <v>1946</v>
      </c>
    </row>
    <row r="1544" spans="7:9" x14ac:dyDescent="0.3">
      <c r="G1544" t="s">
        <v>1866</v>
      </c>
    </row>
    <row r="1545" spans="7:9" x14ac:dyDescent="0.3">
      <c r="G1545" t="s">
        <v>570</v>
      </c>
      <c r="H1545" t="s">
        <v>27</v>
      </c>
      <c r="I1545">
        <v>242834</v>
      </c>
    </row>
    <row r="1546" spans="7:9" x14ac:dyDescent="0.3">
      <c r="H1546" t="s">
        <v>1944</v>
      </c>
    </row>
    <row r="1547" spans="7:9" x14ac:dyDescent="0.3">
      <c r="G1547" t="s">
        <v>1867</v>
      </c>
    </row>
    <row r="1548" spans="7:9" x14ac:dyDescent="0.3">
      <c r="G1548" t="s">
        <v>1194</v>
      </c>
      <c r="H1548" t="s">
        <v>68</v>
      </c>
      <c r="I1548">
        <v>884190</v>
      </c>
    </row>
    <row r="1549" spans="7:9" x14ac:dyDescent="0.3">
      <c r="H1549" t="s">
        <v>1948</v>
      </c>
    </row>
    <row r="1550" spans="7:9" x14ac:dyDescent="0.3">
      <c r="G1550" t="s">
        <v>1868</v>
      </c>
    </row>
    <row r="1551" spans="7:9" x14ac:dyDescent="0.3">
      <c r="G1551" t="s">
        <v>228</v>
      </c>
      <c r="H1551" t="s">
        <v>68</v>
      </c>
      <c r="I1551">
        <v>667844</v>
      </c>
    </row>
    <row r="1552" spans="7:9" x14ac:dyDescent="0.3">
      <c r="H1552" t="s">
        <v>1948</v>
      </c>
    </row>
    <row r="1553" spans="7:9" x14ac:dyDescent="0.3">
      <c r="G1553" t="s">
        <v>1869</v>
      </c>
    </row>
    <row r="1554" spans="7:9" x14ac:dyDescent="0.3">
      <c r="G1554" t="s">
        <v>1268</v>
      </c>
      <c r="H1554" t="s">
        <v>123</v>
      </c>
      <c r="I1554">
        <v>900904</v>
      </c>
    </row>
    <row r="1555" spans="7:9" x14ac:dyDescent="0.3">
      <c r="H1555" t="s">
        <v>1947</v>
      </c>
    </row>
    <row r="1556" spans="7:9" x14ac:dyDescent="0.3">
      <c r="G1556" t="s">
        <v>1870</v>
      </c>
    </row>
    <row r="1557" spans="7:9" x14ac:dyDescent="0.3">
      <c r="G1557" t="s">
        <v>1134</v>
      </c>
      <c r="H1557" t="s">
        <v>123</v>
      </c>
      <c r="I1557">
        <v>232051</v>
      </c>
    </row>
    <row r="1558" spans="7:9" x14ac:dyDescent="0.3">
      <c r="H1558" t="s">
        <v>1947</v>
      </c>
    </row>
    <row r="1559" spans="7:9" x14ac:dyDescent="0.3">
      <c r="G1559" t="s">
        <v>1871</v>
      </c>
    </row>
    <row r="1560" spans="7:9" x14ac:dyDescent="0.3">
      <c r="G1560" t="s">
        <v>918</v>
      </c>
      <c r="H1560" t="s">
        <v>123</v>
      </c>
      <c r="I1560">
        <v>503910</v>
      </c>
    </row>
    <row r="1561" spans="7:9" x14ac:dyDescent="0.3">
      <c r="H1561" t="s">
        <v>1947</v>
      </c>
    </row>
    <row r="1562" spans="7:9" x14ac:dyDescent="0.3">
      <c r="G1562" t="s">
        <v>1872</v>
      </c>
    </row>
    <row r="1563" spans="7:9" x14ac:dyDescent="0.3">
      <c r="G1563" t="s">
        <v>648</v>
      </c>
      <c r="H1563" t="s">
        <v>60</v>
      </c>
      <c r="I1563">
        <v>908365</v>
      </c>
    </row>
    <row r="1564" spans="7:9" x14ac:dyDescent="0.3">
      <c r="H1564" t="s">
        <v>1949</v>
      </c>
    </row>
    <row r="1565" spans="7:9" x14ac:dyDescent="0.3">
      <c r="G1565" t="s">
        <v>1873</v>
      </c>
    </row>
    <row r="1566" spans="7:9" x14ac:dyDescent="0.3">
      <c r="G1566" t="s">
        <v>1286</v>
      </c>
      <c r="H1566" t="s">
        <v>152</v>
      </c>
      <c r="I1566">
        <v>102200</v>
      </c>
    </row>
    <row r="1567" spans="7:9" x14ac:dyDescent="0.3">
      <c r="H1567" t="s">
        <v>1946</v>
      </c>
    </row>
    <row r="1568" spans="7:9" x14ac:dyDescent="0.3">
      <c r="G1568" t="s">
        <v>1874</v>
      </c>
    </row>
    <row r="1569" spans="7:9" x14ac:dyDescent="0.3">
      <c r="G1569" t="s">
        <v>878</v>
      </c>
      <c r="H1569" t="s">
        <v>68</v>
      </c>
      <c r="I1569">
        <v>644312</v>
      </c>
    </row>
    <row r="1570" spans="7:9" x14ac:dyDescent="0.3">
      <c r="H1570" t="s">
        <v>1948</v>
      </c>
    </row>
    <row r="1571" spans="7:9" x14ac:dyDescent="0.3">
      <c r="G1571" t="s">
        <v>1875</v>
      </c>
    </row>
    <row r="1572" spans="7:9" x14ac:dyDescent="0.3">
      <c r="G1572" t="s">
        <v>742</v>
      </c>
      <c r="H1572" t="s">
        <v>54</v>
      </c>
      <c r="I1572">
        <v>889936</v>
      </c>
    </row>
    <row r="1573" spans="7:9" x14ac:dyDescent="0.3">
      <c r="H1573" t="s">
        <v>1950</v>
      </c>
    </row>
    <row r="1574" spans="7:9" x14ac:dyDescent="0.3">
      <c r="G1574" t="s">
        <v>1876</v>
      </c>
    </row>
    <row r="1575" spans="7:9" x14ac:dyDescent="0.3">
      <c r="G1575" t="s">
        <v>1238</v>
      </c>
      <c r="H1575" t="s">
        <v>60</v>
      </c>
      <c r="I1575">
        <v>760046</v>
      </c>
    </row>
    <row r="1576" spans="7:9" x14ac:dyDescent="0.3">
      <c r="H1576" t="s">
        <v>1949</v>
      </c>
    </row>
    <row r="1577" spans="7:9" x14ac:dyDescent="0.3">
      <c r="G1577" t="s">
        <v>1877</v>
      </c>
    </row>
    <row r="1578" spans="7:9" x14ac:dyDescent="0.3">
      <c r="G1578" t="s">
        <v>608</v>
      </c>
      <c r="H1578" t="s">
        <v>123</v>
      </c>
      <c r="I1578">
        <v>885569</v>
      </c>
    </row>
    <row r="1579" spans="7:9" x14ac:dyDescent="0.3">
      <c r="H1579" t="s">
        <v>1947</v>
      </c>
    </row>
    <row r="1580" spans="7:9" x14ac:dyDescent="0.3">
      <c r="G1580" t="s">
        <v>1878</v>
      </c>
    </row>
    <row r="1581" spans="7:9" x14ac:dyDescent="0.3">
      <c r="G1581" t="s">
        <v>218</v>
      </c>
      <c r="H1581" t="s">
        <v>68</v>
      </c>
      <c r="I1581">
        <v>356832</v>
      </c>
    </row>
    <row r="1582" spans="7:9" x14ac:dyDescent="0.3">
      <c r="H1582" t="s">
        <v>1948</v>
      </c>
    </row>
    <row r="1583" spans="7:9" x14ac:dyDescent="0.3">
      <c r="G1583" t="s">
        <v>1879</v>
      </c>
    </row>
    <row r="1584" spans="7:9" x14ac:dyDescent="0.3">
      <c r="G1584" t="s">
        <v>351</v>
      </c>
      <c r="H1584" t="s">
        <v>54</v>
      </c>
      <c r="I1584">
        <v>65254</v>
      </c>
    </row>
    <row r="1585" spans="7:9" x14ac:dyDescent="0.3">
      <c r="H1585" t="s">
        <v>1950</v>
      </c>
    </row>
    <row r="1586" spans="7:9" x14ac:dyDescent="0.3">
      <c r="G1586" t="s">
        <v>1880</v>
      </c>
    </row>
    <row r="1587" spans="7:9" x14ac:dyDescent="0.3">
      <c r="G1587" t="s">
        <v>1188</v>
      </c>
      <c r="H1587" t="s">
        <v>68</v>
      </c>
      <c r="I1587">
        <v>90847</v>
      </c>
    </row>
    <row r="1588" spans="7:9" x14ac:dyDescent="0.3">
      <c r="H1588" t="s">
        <v>1948</v>
      </c>
    </row>
    <row r="1589" spans="7:9" x14ac:dyDescent="0.3">
      <c r="G1589" t="s">
        <v>1881</v>
      </c>
    </row>
    <row r="1590" spans="7:9" x14ac:dyDescent="0.3">
      <c r="G1590" t="s">
        <v>403</v>
      </c>
      <c r="H1590" t="s">
        <v>152</v>
      </c>
      <c r="I1590">
        <v>727957</v>
      </c>
    </row>
    <row r="1591" spans="7:9" x14ac:dyDescent="0.3">
      <c r="H1591" t="s">
        <v>1946</v>
      </c>
    </row>
    <row r="1592" spans="7:9" x14ac:dyDescent="0.3">
      <c r="G1592" t="s">
        <v>1882</v>
      </c>
    </row>
    <row r="1593" spans="7:9" x14ac:dyDescent="0.3">
      <c r="G1593" t="s">
        <v>1214</v>
      </c>
      <c r="H1593" t="s">
        <v>36</v>
      </c>
      <c r="I1593">
        <v>403430</v>
      </c>
    </row>
    <row r="1594" spans="7:9" x14ac:dyDescent="0.3">
      <c r="H1594" t="s">
        <v>1945</v>
      </c>
    </row>
    <row r="1595" spans="7:9" x14ac:dyDescent="0.3">
      <c r="G1595" t="s">
        <v>1883</v>
      </c>
    </row>
    <row r="1596" spans="7:9" x14ac:dyDescent="0.3">
      <c r="G1596" t="s">
        <v>1246</v>
      </c>
      <c r="H1596" t="s">
        <v>123</v>
      </c>
      <c r="I1596">
        <v>937316</v>
      </c>
    </row>
    <row r="1597" spans="7:9" x14ac:dyDescent="0.3">
      <c r="H1597" t="s">
        <v>1947</v>
      </c>
    </row>
    <row r="1598" spans="7:9" x14ac:dyDescent="0.3">
      <c r="G1598" t="s">
        <v>1884</v>
      </c>
    </row>
    <row r="1599" spans="7:9" x14ac:dyDescent="0.3">
      <c r="G1599" t="s">
        <v>1150</v>
      </c>
      <c r="H1599" t="s">
        <v>36</v>
      </c>
      <c r="I1599">
        <v>680245</v>
      </c>
    </row>
    <row r="1600" spans="7:9" x14ac:dyDescent="0.3">
      <c r="H1600" t="s">
        <v>1945</v>
      </c>
    </row>
    <row r="1601" spans="7:9" x14ac:dyDescent="0.3">
      <c r="G1601" t="s">
        <v>1885</v>
      </c>
    </row>
    <row r="1602" spans="7:9" x14ac:dyDescent="0.3">
      <c r="G1602" t="s">
        <v>1292</v>
      </c>
      <c r="H1602" t="s">
        <v>152</v>
      </c>
      <c r="I1602">
        <v>474009</v>
      </c>
    </row>
    <row r="1603" spans="7:9" x14ac:dyDescent="0.3">
      <c r="H1603" t="s">
        <v>1946</v>
      </c>
    </row>
    <row r="1604" spans="7:9" x14ac:dyDescent="0.3">
      <c r="G1604" t="s">
        <v>1886</v>
      </c>
    </row>
    <row r="1605" spans="7:9" x14ac:dyDescent="0.3">
      <c r="G1605" t="s">
        <v>359</v>
      </c>
      <c r="H1605" t="s">
        <v>123</v>
      </c>
      <c r="I1605">
        <v>407180</v>
      </c>
    </row>
    <row r="1606" spans="7:9" x14ac:dyDescent="0.3">
      <c r="H1606" t="s">
        <v>1947</v>
      </c>
    </row>
    <row r="1607" spans="7:9" x14ac:dyDescent="0.3">
      <c r="G1607" t="s">
        <v>1887</v>
      </c>
    </row>
    <row r="1608" spans="7:9" x14ac:dyDescent="0.3">
      <c r="G1608" t="s">
        <v>427</v>
      </c>
      <c r="H1608" t="s">
        <v>60</v>
      </c>
      <c r="I1608">
        <v>635592</v>
      </c>
    </row>
    <row r="1609" spans="7:9" x14ac:dyDescent="0.3">
      <c r="H1609" t="s">
        <v>1949</v>
      </c>
    </row>
    <row r="1610" spans="7:9" x14ac:dyDescent="0.3">
      <c r="G1610" t="s">
        <v>1888</v>
      </c>
    </row>
    <row r="1611" spans="7:9" x14ac:dyDescent="0.3">
      <c r="G1611" t="s">
        <v>143</v>
      </c>
      <c r="H1611" t="s">
        <v>36</v>
      </c>
      <c r="I1611">
        <v>325353</v>
      </c>
    </row>
    <row r="1612" spans="7:9" x14ac:dyDescent="0.3">
      <c r="H1612" t="s">
        <v>1945</v>
      </c>
    </row>
    <row r="1613" spans="7:9" x14ac:dyDescent="0.3">
      <c r="G1613" t="s">
        <v>1889</v>
      </c>
    </row>
    <row r="1614" spans="7:9" x14ac:dyDescent="0.3">
      <c r="G1614" t="s">
        <v>612</v>
      </c>
      <c r="H1614" t="s">
        <v>60</v>
      </c>
      <c r="I1614">
        <v>844330</v>
      </c>
    </row>
    <row r="1615" spans="7:9" x14ac:dyDescent="0.3">
      <c r="H1615" t="s">
        <v>1949</v>
      </c>
    </row>
    <row r="1616" spans="7:9" x14ac:dyDescent="0.3">
      <c r="G1616" t="s">
        <v>1890</v>
      </c>
    </row>
    <row r="1617" spans="7:9" x14ac:dyDescent="0.3">
      <c r="G1617" t="s">
        <v>1240</v>
      </c>
      <c r="H1617" t="s">
        <v>123</v>
      </c>
      <c r="I1617">
        <v>516153</v>
      </c>
    </row>
    <row r="1618" spans="7:9" x14ac:dyDescent="0.3">
      <c r="H1618" t="s">
        <v>1947</v>
      </c>
    </row>
    <row r="1619" spans="7:9" x14ac:dyDescent="0.3">
      <c r="G1619" t="s">
        <v>1891</v>
      </c>
    </row>
    <row r="1620" spans="7:9" x14ac:dyDescent="0.3">
      <c r="G1620" t="s">
        <v>788</v>
      </c>
      <c r="H1620" t="s">
        <v>54</v>
      </c>
      <c r="I1620">
        <v>510790</v>
      </c>
    </row>
    <row r="1621" spans="7:9" x14ac:dyDescent="0.3">
      <c r="H1621" t="s">
        <v>1950</v>
      </c>
    </row>
    <row r="1622" spans="7:9" x14ac:dyDescent="0.3">
      <c r="G1622" t="s">
        <v>1892</v>
      </c>
    </row>
    <row r="1623" spans="7:9" x14ac:dyDescent="0.3">
      <c r="G1623" t="s">
        <v>1034</v>
      </c>
      <c r="H1623" t="s">
        <v>36</v>
      </c>
      <c r="I1623">
        <v>474840</v>
      </c>
    </row>
    <row r="1624" spans="7:9" x14ac:dyDescent="0.3">
      <c r="H1624" t="s">
        <v>1945</v>
      </c>
    </row>
    <row r="1625" spans="7:9" x14ac:dyDescent="0.3">
      <c r="G1625" t="s">
        <v>1893</v>
      </c>
    </row>
    <row r="1626" spans="7:9" x14ac:dyDescent="0.3">
      <c r="G1626" t="s">
        <v>938</v>
      </c>
      <c r="H1626" t="s">
        <v>27</v>
      </c>
      <c r="I1626">
        <v>338558</v>
      </c>
    </row>
    <row r="1627" spans="7:9" x14ac:dyDescent="0.3">
      <c r="H1627" t="s">
        <v>1944</v>
      </c>
    </row>
    <row r="1628" spans="7:9" x14ac:dyDescent="0.3">
      <c r="G1628" t="s">
        <v>1894</v>
      </c>
    </row>
    <row r="1629" spans="7:9" x14ac:dyDescent="0.3">
      <c r="G1629" t="s">
        <v>754</v>
      </c>
      <c r="H1629" t="s">
        <v>54</v>
      </c>
      <c r="I1629">
        <v>751781</v>
      </c>
    </row>
    <row r="1630" spans="7:9" x14ac:dyDescent="0.3">
      <c r="H1630" t="s">
        <v>1950</v>
      </c>
    </row>
    <row r="1631" spans="7:9" x14ac:dyDescent="0.3">
      <c r="G1631" t="s">
        <v>1895</v>
      </c>
    </row>
    <row r="1632" spans="7:9" x14ac:dyDescent="0.3">
      <c r="G1632" t="s">
        <v>56</v>
      </c>
      <c r="H1632" t="s">
        <v>60</v>
      </c>
      <c r="I1632">
        <v>406585</v>
      </c>
    </row>
    <row r="1633" spans="7:9" x14ac:dyDescent="0.3">
      <c r="H1633" t="s">
        <v>1949</v>
      </c>
    </row>
    <row r="1634" spans="7:9" x14ac:dyDescent="0.3">
      <c r="G1634" t="s">
        <v>1896</v>
      </c>
    </row>
    <row r="1635" spans="7:9" x14ac:dyDescent="0.3">
      <c r="G1635" t="s">
        <v>111</v>
      </c>
      <c r="H1635" t="s">
        <v>60</v>
      </c>
      <c r="I1635">
        <v>875994</v>
      </c>
    </row>
    <row r="1636" spans="7:9" x14ac:dyDescent="0.3">
      <c r="H1636" t="s">
        <v>1949</v>
      </c>
    </row>
    <row r="1637" spans="7:9" x14ac:dyDescent="0.3">
      <c r="G1637" t="s">
        <v>1897</v>
      </c>
    </row>
    <row r="1638" spans="7:9" x14ac:dyDescent="0.3">
      <c r="G1638" t="s">
        <v>335</v>
      </c>
      <c r="H1638" t="s">
        <v>68</v>
      </c>
      <c r="I1638">
        <v>896914</v>
      </c>
    </row>
    <row r="1639" spans="7:9" x14ac:dyDescent="0.3">
      <c r="H1639" t="s">
        <v>1948</v>
      </c>
    </row>
    <row r="1640" spans="7:9" x14ac:dyDescent="0.3">
      <c r="G1640" t="s">
        <v>1898</v>
      </c>
    </row>
    <row r="1641" spans="7:9" x14ac:dyDescent="0.3">
      <c r="G1641" t="s">
        <v>954</v>
      </c>
      <c r="H1641" t="s">
        <v>123</v>
      </c>
      <c r="I1641">
        <v>462894</v>
      </c>
    </row>
    <row r="1642" spans="7:9" x14ac:dyDescent="0.3">
      <c r="H1642" t="s">
        <v>1947</v>
      </c>
    </row>
    <row r="1643" spans="7:9" x14ac:dyDescent="0.3">
      <c r="G1643" t="s">
        <v>1899</v>
      </c>
    </row>
    <row r="1644" spans="7:9" x14ac:dyDescent="0.3">
      <c r="G1644" t="s">
        <v>528</v>
      </c>
      <c r="H1644" t="s">
        <v>54</v>
      </c>
      <c r="I1644">
        <v>773522</v>
      </c>
    </row>
    <row r="1645" spans="7:9" x14ac:dyDescent="0.3">
      <c r="H1645" t="s">
        <v>1950</v>
      </c>
    </row>
    <row r="1646" spans="7:9" x14ac:dyDescent="0.3">
      <c r="G1646" t="s">
        <v>1900</v>
      </c>
    </row>
    <row r="1647" spans="7:9" x14ac:dyDescent="0.3">
      <c r="G1647" t="s">
        <v>178</v>
      </c>
      <c r="H1647" t="s">
        <v>123</v>
      </c>
      <c r="I1647">
        <v>378517</v>
      </c>
    </row>
    <row r="1648" spans="7:9" x14ac:dyDescent="0.3">
      <c r="H1648" t="s">
        <v>1947</v>
      </c>
    </row>
    <row r="1649" spans="7:9" x14ac:dyDescent="0.3">
      <c r="G1649" t="s">
        <v>1901</v>
      </c>
    </row>
    <row r="1650" spans="7:9" x14ac:dyDescent="0.3">
      <c r="G1650" t="s">
        <v>1304</v>
      </c>
      <c r="H1650" t="s">
        <v>54</v>
      </c>
      <c r="I1650">
        <v>487354</v>
      </c>
    </row>
    <row r="1651" spans="7:9" x14ac:dyDescent="0.3">
      <c r="H1651" t="s">
        <v>1950</v>
      </c>
    </row>
    <row r="1652" spans="7:9" x14ac:dyDescent="0.3">
      <c r="G1652" t="s">
        <v>1902</v>
      </c>
    </row>
    <row r="1653" spans="7:9" x14ac:dyDescent="0.3">
      <c r="G1653" t="s">
        <v>964</v>
      </c>
      <c r="H1653" t="s">
        <v>152</v>
      </c>
      <c r="I1653">
        <v>872603</v>
      </c>
    </row>
    <row r="1654" spans="7:9" x14ac:dyDescent="0.3">
      <c r="H1654" t="s">
        <v>1946</v>
      </c>
    </row>
    <row r="1655" spans="7:9" x14ac:dyDescent="0.3">
      <c r="G1655" t="s">
        <v>1903</v>
      </c>
    </row>
    <row r="1656" spans="7:9" x14ac:dyDescent="0.3">
      <c r="G1656" t="s">
        <v>313</v>
      </c>
      <c r="H1656" t="s">
        <v>60</v>
      </c>
      <c r="I1656">
        <v>929222</v>
      </c>
    </row>
    <row r="1657" spans="7:9" x14ac:dyDescent="0.3">
      <c r="H1657" t="s">
        <v>1949</v>
      </c>
    </row>
    <row r="1658" spans="7:9" x14ac:dyDescent="0.3">
      <c r="G1658" t="s">
        <v>1904</v>
      </c>
    </row>
    <row r="1659" spans="7:9" x14ac:dyDescent="0.3">
      <c r="G1659" t="s">
        <v>196</v>
      </c>
      <c r="H1659" t="s">
        <v>123</v>
      </c>
      <c r="I1659">
        <v>358156</v>
      </c>
    </row>
    <row r="1660" spans="7:9" x14ac:dyDescent="0.3">
      <c r="H1660" t="s">
        <v>1947</v>
      </c>
    </row>
    <row r="1661" spans="7:9" x14ac:dyDescent="0.3">
      <c r="G1661" t="s">
        <v>1905</v>
      </c>
    </row>
    <row r="1662" spans="7:9" x14ac:dyDescent="0.3">
      <c r="G1662" t="s">
        <v>520</v>
      </c>
      <c r="H1662" t="s">
        <v>36</v>
      </c>
      <c r="I1662">
        <v>268529</v>
      </c>
    </row>
    <row r="1663" spans="7:9" x14ac:dyDescent="0.3">
      <c r="H1663" t="s">
        <v>1945</v>
      </c>
    </row>
    <row r="1664" spans="7:9" x14ac:dyDescent="0.3">
      <c r="G1664" t="s">
        <v>1906</v>
      </c>
    </row>
    <row r="1665" spans="7:9" x14ac:dyDescent="0.3">
      <c r="G1665" t="s">
        <v>315</v>
      </c>
      <c r="H1665" t="s">
        <v>60</v>
      </c>
      <c r="I1665">
        <v>713326</v>
      </c>
    </row>
    <row r="1666" spans="7:9" x14ac:dyDescent="0.3">
      <c r="H1666" t="s">
        <v>1949</v>
      </c>
    </row>
    <row r="1667" spans="7:9" x14ac:dyDescent="0.3">
      <c r="G1667" t="s">
        <v>1907</v>
      </c>
    </row>
    <row r="1668" spans="7:9" x14ac:dyDescent="0.3">
      <c r="G1668" t="s">
        <v>475</v>
      </c>
      <c r="H1668" t="s">
        <v>27</v>
      </c>
      <c r="I1668">
        <v>436610</v>
      </c>
    </row>
    <row r="1669" spans="7:9" x14ac:dyDescent="0.3">
      <c r="H1669" t="s">
        <v>1944</v>
      </c>
    </row>
    <row r="1670" spans="7:9" x14ac:dyDescent="0.3">
      <c r="G1670" t="s">
        <v>1908</v>
      </c>
    </row>
    <row r="1671" spans="7:9" x14ac:dyDescent="0.3">
      <c r="G1671" t="s">
        <v>650</v>
      </c>
      <c r="H1671" t="s">
        <v>60</v>
      </c>
      <c r="I1671">
        <v>395122</v>
      </c>
    </row>
    <row r="1672" spans="7:9" x14ac:dyDescent="0.3">
      <c r="H1672" t="s">
        <v>1949</v>
      </c>
    </row>
    <row r="1673" spans="7:9" x14ac:dyDescent="0.3">
      <c r="G1673" t="s">
        <v>1909</v>
      </c>
    </row>
    <row r="1674" spans="7:9" x14ac:dyDescent="0.3">
      <c r="G1674" t="s">
        <v>1184</v>
      </c>
      <c r="H1674" t="s">
        <v>152</v>
      </c>
      <c r="I1674">
        <v>1516</v>
      </c>
    </row>
    <row r="1675" spans="7:9" x14ac:dyDescent="0.3">
      <c r="H1675" t="s">
        <v>1946</v>
      </c>
    </row>
    <row r="1676" spans="7:9" x14ac:dyDescent="0.3">
      <c r="G1676" t="s">
        <v>1910</v>
      </c>
    </row>
    <row r="1677" spans="7:9" x14ac:dyDescent="0.3">
      <c r="G1677" t="s">
        <v>425</v>
      </c>
      <c r="H1677" t="s">
        <v>27</v>
      </c>
      <c r="I1677">
        <v>533825</v>
      </c>
    </row>
    <row r="1678" spans="7:9" x14ac:dyDescent="0.3">
      <c r="H1678" t="s">
        <v>1944</v>
      </c>
    </row>
    <row r="1679" spans="7:9" x14ac:dyDescent="0.3">
      <c r="G1679" t="s">
        <v>1911</v>
      </c>
    </row>
    <row r="1680" spans="7:9" x14ac:dyDescent="0.3">
      <c r="G1680" t="s">
        <v>836</v>
      </c>
      <c r="H1680" t="s">
        <v>27</v>
      </c>
      <c r="I1680">
        <v>576010</v>
      </c>
    </row>
    <row r="1681" spans="7:9" x14ac:dyDescent="0.3">
      <c r="H1681" t="s">
        <v>1944</v>
      </c>
    </row>
    <row r="1682" spans="7:9" x14ac:dyDescent="0.3">
      <c r="G1682" t="s">
        <v>1912</v>
      </c>
    </row>
    <row r="1683" spans="7:9" x14ac:dyDescent="0.3">
      <c r="G1683" t="s">
        <v>880</v>
      </c>
      <c r="H1683" t="s">
        <v>27</v>
      </c>
      <c r="I1683">
        <v>704750</v>
      </c>
    </row>
    <row r="1684" spans="7:9" x14ac:dyDescent="0.3">
      <c r="H1684" t="s">
        <v>1944</v>
      </c>
    </row>
    <row r="1685" spans="7:9" x14ac:dyDescent="0.3">
      <c r="G1685" t="s">
        <v>1913</v>
      </c>
    </row>
    <row r="1686" spans="7:9" x14ac:dyDescent="0.3">
      <c r="G1686" t="s">
        <v>449</v>
      </c>
      <c r="H1686" t="s">
        <v>68</v>
      </c>
      <c r="I1686">
        <v>4683</v>
      </c>
    </row>
    <row r="1687" spans="7:9" x14ac:dyDescent="0.3">
      <c r="H1687" t="s">
        <v>1948</v>
      </c>
    </row>
    <row r="1688" spans="7:9" x14ac:dyDescent="0.3">
      <c r="G1688" t="s">
        <v>1914</v>
      </c>
    </row>
    <row r="1689" spans="7:9" x14ac:dyDescent="0.3">
      <c r="G1689" t="s">
        <v>405</v>
      </c>
      <c r="H1689" t="s">
        <v>36</v>
      </c>
      <c r="I1689">
        <v>305504</v>
      </c>
    </row>
    <row r="1690" spans="7:9" x14ac:dyDescent="0.3">
      <c r="H1690" t="s">
        <v>1945</v>
      </c>
    </row>
    <row r="1691" spans="7:9" x14ac:dyDescent="0.3">
      <c r="G1691" t="s">
        <v>1915</v>
      </c>
    </row>
    <row r="1692" spans="7:9" x14ac:dyDescent="0.3">
      <c r="G1692" t="s">
        <v>746</v>
      </c>
      <c r="H1692" t="s">
        <v>60</v>
      </c>
      <c r="I1692">
        <v>9056</v>
      </c>
    </row>
    <row r="1693" spans="7:9" x14ac:dyDescent="0.3">
      <c r="H1693" t="s">
        <v>1949</v>
      </c>
    </row>
    <row r="1694" spans="7:9" x14ac:dyDescent="0.3">
      <c r="G1694" t="s">
        <v>1916</v>
      </c>
    </row>
    <row r="1695" spans="7:9" x14ac:dyDescent="0.3">
      <c r="G1695" t="s">
        <v>261</v>
      </c>
      <c r="H1695" t="s">
        <v>152</v>
      </c>
      <c r="I1695">
        <v>582436</v>
      </c>
    </row>
    <row r="1696" spans="7:9" x14ac:dyDescent="0.3">
      <c r="H1696" t="s">
        <v>1946</v>
      </c>
    </row>
    <row r="1697" spans="7:9" x14ac:dyDescent="0.3">
      <c r="G1697" t="s">
        <v>1917</v>
      </c>
    </row>
    <row r="1698" spans="7:9" x14ac:dyDescent="0.3">
      <c r="G1698" t="s">
        <v>163</v>
      </c>
      <c r="H1698" t="s">
        <v>68</v>
      </c>
      <c r="I1698">
        <v>731116</v>
      </c>
    </row>
    <row r="1699" spans="7:9" x14ac:dyDescent="0.3">
      <c r="H1699" t="s">
        <v>1948</v>
      </c>
    </row>
    <row r="1700" spans="7:9" x14ac:dyDescent="0.3">
      <c r="G1700" t="s">
        <v>1918</v>
      </c>
    </row>
    <row r="1701" spans="7:9" x14ac:dyDescent="0.3">
      <c r="G1701" t="s">
        <v>203</v>
      </c>
      <c r="H1701" t="s">
        <v>123</v>
      </c>
      <c r="I1701">
        <v>605001</v>
      </c>
    </row>
    <row r="1702" spans="7:9" x14ac:dyDescent="0.3">
      <c r="H1702" t="s">
        <v>1947</v>
      </c>
    </row>
    <row r="1703" spans="7:9" x14ac:dyDescent="0.3">
      <c r="G1703" t="s">
        <v>1919</v>
      </c>
    </row>
    <row r="1704" spans="7:9" x14ac:dyDescent="0.3">
      <c r="G1704" t="s">
        <v>244</v>
      </c>
      <c r="H1704" t="s">
        <v>27</v>
      </c>
      <c r="I1704">
        <v>212183</v>
      </c>
    </row>
    <row r="1705" spans="7:9" x14ac:dyDescent="0.3">
      <c r="H1705" t="s">
        <v>1944</v>
      </c>
    </row>
    <row r="1706" spans="7:9" x14ac:dyDescent="0.3">
      <c r="G1706" t="s">
        <v>1920</v>
      </c>
    </row>
    <row r="1707" spans="7:9" x14ac:dyDescent="0.3">
      <c r="G1707" t="s">
        <v>736</v>
      </c>
      <c r="H1707" t="s">
        <v>68</v>
      </c>
      <c r="I1707">
        <v>933366</v>
      </c>
    </row>
    <row r="1708" spans="7:9" x14ac:dyDescent="0.3">
      <c r="H1708" t="s">
        <v>1948</v>
      </c>
    </row>
    <row r="1709" spans="7:9" x14ac:dyDescent="0.3">
      <c r="G1709" t="s">
        <v>1921</v>
      </c>
    </row>
    <row r="1710" spans="7:9" x14ac:dyDescent="0.3">
      <c r="G1710" t="s">
        <v>566</v>
      </c>
      <c r="H1710" t="s">
        <v>68</v>
      </c>
      <c r="I1710">
        <v>653766</v>
      </c>
    </row>
    <row r="1711" spans="7:9" x14ac:dyDescent="0.3">
      <c r="H1711" t="s">
        <v>1948</v>
      </c>
    </row>
    <row r="1712" spans="7:9" x14ac:dyDescent="0.3">
      <c r="G1712" t="s">
        <v>1922</v>
      </c>
    </row>
    <row r="1713" spans="7:9" x14ac:dyDescent="0.3">
      <c r="G1713" t="s">
        <v>1064</v>
      </c>
      <c r="H1713" t="s">
        <v>27</v>
      </c>
      <c r="I1713">
        <v>439970</v>
      </c>
    </row>
    <row r="1714" spans="7:9" x14ac:dyDescent="0.3">
      <c r="H1714" t="s">
        <v>1944</v>
      </c>
    </row>
    <row r="1715" spans="7:9" x14ac:dyDescent="0.3">
      <c r="G1715" t="s">
        <v>1923</v>
      </c>
    </row>
    <row r="1716" spans="7:9" x14ac:dyDescent="0.3">
      <c r="G1716" t="s">
        <v>652</v>
      </c>
      <c r="H1716" t="s">
        <v>123</v>
      </c>
      <c r="I1716">
        <v>216197</v>
      </c>
    </row>
    <row r="1717" spans="7:9" x14ac:dyDescent="0.3">
      <c r="H1717" t="s">
        <v>1947</v>
      </c>
    </row>
    <row r="1718" spans="7:9" x14ac:dyDescent="0.3">
      <c r="G1718" t="s">
        <v>1924</v>
      </c>
    </row>
    <row r="1719" spans="7:9" x14ac:dyDescent="0.3">
      <c r="G1719" t="s">
        <v>385</v>
      </c>
      <c r="H1719" t="s">
        <v>27</v>
      </c>
      <c r="I1719">
        <v>599998</v>
      </c>
    </row>
    <row r="1720" spans="7:9" x14ac:dyDescent="0.3">
      <c r="H1720" t="s">
        <v>1944</v>
      </c>
    </row>
    <row r="1721" spans="7:9" x14ac:dyDescent="0.3">
      <c r="G1721" t="s">
        <v>1925</v>
      </c>
    </row>
    <row r="1722" spans="7:9" x14ac:dyDescent="0.3">
      <c r="G1722" t="s">
        <v>95</v>
      </c>
      <c r="H1722" t="s">
        <v>60</v>
      </c>
      <c r="I1722">
        <v>505723</v>
      </c>
    </row>
    <row r="1723" spans="7:9" x14ac:dyDescent="0.3">
      <c r="H1723" t="s">
        <v>1949</v>
      </c>
    </row>
    <row r="1724" spans="7:9" x14ac:dyDescent="0.3">
      <c r="G1724" t="s">
        <v>1926</v>
      </c>
    </row>
    <row r="1725" spans="7:9" x14ac:dyDescent="0.3">
      <c r="G1725" t="s">
        <v>556</v>
      </c>
      <c r="H1725" t="s">
        <v>54</v>
      </c>
      <c r="I1725">
        <v>195841</v>
      </c>
    </row>
    <row r="1726" spans="7:9" x14ac:dyDescent="0.3">
      <c r="H1726" t="s">
        <v>1950</v>
      </c>
    </row>
    <row r="1727" spans="7:9" x14ac:dyDescent="0.3">
      <c r="G1727" t="s">
        <v>1927</v>
      </c>
    </row>
    <row r="1728" spans="7:9" x14ac:dyDescent="0.3">
      <c r="G1728" t="s">
        <v>1182</v>
      </c>
      <c r="H1728" t="s">
        <v>123</v>
      </c>
      <c r="I1728">
        <v>490624</v>
      </c>
    </row>
    <row r="1729" spans="7:9" x14ac:dyDescent="0.3">
      <c r="H1729" t="s">
        <v>1947</v>
      </c>
    </row>
    <row r="1730" spans="7:9" x14ac:dyDescent="0.3">
      <c r="G1730" t="s">
        <v>1928</v>
      </c>
    </row>
    <row r="1731" spans="7:9" x14ac:dyDescent="0.3">
      <c r="G1731" t="s">
        <v>283</v>
      </c>
      <c r="H1731" t="s">
        <v>27</v>
      </c>
      <c r="I1731">
        <v>744447</v>
      </c>
    </row>
    <row r="1732" spans="7:9" x14ac:dyDescent="0.3">
      <c r="H1732" t="s">
        <v>1944</v>
      </c>
    </row>
    <row r="1733" spans="7:9" x14ac:dyDescent="0.3">
      <c r="G1733" t="s">
        <v>1929</v>
      </c>
    </row>
    <row r="1734" spans="7:9" x14ac:dyDescent="0.3">
      <c r="G1734" t="s">
        <v>1226</v>
      </c>
      <c r="H1734" t="s">
        <v>60</v>
      </c>
      <c r="I1734">
        <v>3489</v>
      </c>
    </row>
    <row r="1735" spans="7:9" x14ac:dyDescent="0.3">
      <c r="H1735" t="s">
        <v>1949</v>
      </c>
    </row>
    <row r="1736" spans="7:9" x14ac:dyDescent="0.3">
      <c r="G1736" t="s">
        <v>1930</v>
      </c>
    </row>
    <row r="1737" spans="7:9" x14ac:dyDescent="0.3">
      <c r="G1737" t="s">
        <v>1080</v>
      </c>
      <c r="H1737" t="s">
        <v>27</v>
      </c>
      <c r="I1737">
        <v>85291</v>
      </c>
    </row>
    <row r="1738" spans="7:9" x14ac:dyDescent="0.3">
      <c r="H1738" t="s">
        <v>1944</v>
      </c>
    </row>
    <row r="1739" spans="7:9" x14ac:dyDescent="0.3">
      <c r="G1739" t="s">
        <v>1931</v>
      </c>
    </row>
    <row r="1740" spans="7:9" x14ac:dyDescent="0.3">
      <c r="G1740" t="s">
        <v>592</v>
      </c>
      <c r="H1740" t="s">
        <v>36</v>
      </c>
      <c r="I1740">
        <v>813417</v>
      </c>
    </row>
    <row r="1741" spans="7:9" x14ac:dyDescent="0.3">
      <c r="H1741" t="s">
        <v>1945</v>
      </c>
    </row>
    <row r="1742" spans="7:9" x14ac:dyDescent="0.3">
      <c r="G1742" t="s">
        <v>1932</v>
      </c>
    </row>
    <row r="1743" spans="7:9" x14ac:dyDescent="0.3">
      <c r="G1743" t="s">
        <v>273</v>
      </c>
      <c r="H1743" t="s">
        <v>54</v>
      </c>
      <c r="I1743">
        <v>480901</v>
      </c>
    </row>
    <row r="1744" spans="7:9" x14ac:dyDescent="0.3">
      <c r="H1744" t="s">
        <v>1950</v>
      </c>
    </row>
    <row r="1745" spans="7:9" x14ac:dyDescent="0.3">
      <c r="G1745" t="s">
        <v>1933</v>
      </c>
    </row>
    <row r="1746" spans="7:9" x14ac:dyDescent="0.3">
      <c r="G1746" t="s">
        <v>1036</v>
      </c>
      <c r="H1746" t="s">
        <v>27</v>
      </c>
      <c r="I1746">
        <v>630171</v>
      </c>
    </row>
    <row r="1747" spans="7:9" x14ac:dyDescent="0.3">
      <c r="H1747" t="s">
        <v>1944</v>
      </c>
    </row>
    <row r="1748" spans="7:9" x14ac:dyDescent="0.3">
      <c r="G1748" t="s">
        <v>1934</v>
      </c>
    </row>
    <row r="1749" spans="7:9" x14ac:dyDescent="0.3">
      <c r="G1749" t="s">
        <v>1236</v>
      </c>
      <c r="H1749" t="s">
        <v>60</v>
      </c>
      <c r="I1749">
        <v>829078</v>
      </c>
    </row>
    <row r="1750" spans="7:9" x14ac:dyDescent="0.3">
      <c r="H1750" t="s">
        <v>1949</v>
      </c>
    </row>
    <row r="1751" spans="7:9" x14ac:dyDescent="0.3">
      <c r="G1751" t="s">
        <v>1935</v>
      </c>
    </row>
    <row r="1752" spans="7:9" x14ac:dyDescent="0.3">
      <c r="G1752" t="s">
        <v>373</v>
      </c>
      <c r="H1752" t="s">
        <v>123</v>
      </c>
      <c r="I1752">
        <v>341798</v>
      </c>
    </row>
    <row r="1753" spans="7:9" x14ac:dyDescent="0.3">
      <c r="H1753" t="s">
        <v>1947</v>
      </c>
    </row>
    <row r="1754" spans="7:9" x14ac:dyDescent="0.3">
      <c r="G1754" t="s">
        <v>1936</v>
      </c>
    </row>
    <row r="1755" spans="7:9" x14ac:dyDescent="0.3">
      <c r="G1755" t="s">
        <v>812</v>
      </c>
      <c r="H1755" t="s">
        <v>152</v>
      </c>
      <c r="I1755">
        <v>169972</v>
      </c>
    </row>
    <row r="1756" spans="7:9" x14ac:dyDescent="0.3">
      <c r="H1756" t="s">
        <v>1946</v>
      </c>
    </row>
    <row r="1757" spans="7:9" x14ac:dyDescent="0.3">
      <c r="G1757" t="s">
        <v>1937</v>
      </c>
    </row>
    <row r="1758" spans="7:9" x14ac:dyDescent="0.3">
      <c r="G1758" t="s">
        <v>201</v>
      </c>
      <c r="H1758" t="s">
        <v>60</v>
      </c>
      <c r="I1758">
        <v>251675</v>
      </c>
    </row>
    <row r="1759" spans="7:9" x14ac:dyDescent="0.3">
      <c r="H1759" t="s">
        <v>1949</v>
      </c>
    </row>
    <row r="1760" spans="7:9" x14ac:dyDescent="0.3">
      <c r="G1760" t="s">
        <v>1938</v>
      </c>
    </row>
    <row r="1761" spans="7:9" x14ac:dyDescent="0.3">
      <c r="G1761" t="s">
        <v>1280</v>
      </c>
      <c r="H1761" t="s">
        <v>54</v>
      </c>
      <c r="I1761">
        <v>722211</v>
      </c>
    </row>
    <row r="1762" spans="7:9" x14ac:dyDescent="0.3">
      <c r="H1762" t="s">
        <v>1950</v>
      </c>
    </row>
    <row r="1763" spans="7:9" x14ac:dyDescent="0.3">
      <c r="G1763" t="s">
        <v>1939</v>
      </c>
    </row>
    <row r="1764" spans="7:9" x14ac:dyDescent="0.3">
      <c r="G1764" t="s">
        <v>1160</v>
      </c>
      <c r="H1764" t="s">
        <v>68</v>
      </c>
      <c r="I1764">
        <v>279737</v>
      </c>
    </row>
    <row r="1765" spans="7:9" x14ac:dyDescent="0.3">
      <c r="H1765" t="s">
        <v>1948</v>
      </c>
    </row>
    <row r="1766" spans="7:9" x14ac:dyDescent="0.3">
      <c r="G1766" t="s">
        <v>1940</v>
      </c>
    </row>
    <row r="1767" spans="7:9" x14ac:dyDescent="0.3">
      <c r="G1767" t="s">
        <v>1162</v>
      </c>
      <c r="H1767" t="s">
        <v>54</v>
      </c>
      <c r="I1767">
        <v>206998</v>
      </c>
    </row>
    <row r="1768" spans="7:9" x14ac:dyDescent="0.3">
      <c r="H1768" t="s">
        <v>1950</v>
      </c>
    </row>
    <row r="1769" spans="7:9" x14ac:dyDescent="0.3">
      <c r="G1769" t="s">
        <v>1941</v>
      </c>
    </row>
    <row r="1770" spans="7:9" x14ac:dyDescent="0.3">
      <c r="G1770" t="s">
        <v>646</v>
      </c>
      <c r="H1770" t="s">
        <v>60</v>
      </c>
      <c r="I1770">
        <v>346458</v>
      </c>
    </row>
    <row r="1771" spans="7:9" x14ac:dyDescent="0.3">
      <c r="H1771" t="s">
        <v>1949</v>
      </c>
    </row>
    <row r="1772" spans="7:9" x14ac:dyDescent="0.3">
      <c r="G1772" t="s">
        <v>1942</v>
      </c>
    </row>
    <row r="1773" spans="7:9" x14ac:dyDescent="0.3">
      <c r="G1773" t="s">
        <v>1353</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76EC7-7E05-4842-93B3-0A58FB4FBDB4}">
  <dimension ref="A1:AF75"/>
  <sheetViews>
    <sheetView topLeftCell="A3" zoomScale="103" workbookViewId="0">
      <selection activeCell="A33" sqref="A33"/>
    </sheetView>
  </sheetViews>
  <sheetFormatPr defaultRowHeight="14.4" x14ac:dyDescent="0.3"/>
  <cols>
    <col min="1" max="16384" width="8.88671875" style="8"/>
  </cols>
  <sheetData>
    <row r="1" spans="1:25" x14ac:dyDescent="0.3">
      <c r="A1" s="9"/>
      <c r="B1" s="9"/>
      <c r="C1" s="9"/>
      <c r="D1" s="9"/>
      <c r="E1" s="9"/>
      <c r="F1" s="9"/>
      <c r="G1" s="9"/>
      <c r="H1" s="9"/>
      <c r="I1" s="9"/>
      <c r="J1" s="9"/>
      <c r="K1" s="9"/>
      <c r="L1" s="9"/>
      <c r="M1" s="9"/>
      <c r="N1" s="9"/>
      <c r="O1" s="9"/>
      <c r="P1" s="9"/>
      <c r="Q1" s="9"/>
      <c r="R1" s="9"/>
      <c r="S1" s="9"/>
      <c r="T1" s="9"/>
      <c r="U1" s="9"/>
      <c r="V1" s="9"/>
      <c r="W1" s="9"/>
      <c r="X1" s="9"/>
    </row>
    <row r="2" spans="1:25" x14ac:dyDescent="0.3">
      <c r="A2" s="9"/>
      <c r="B2" s="9"/>
      <c r="C2" s="9"/>
      <c r="D2" s="9"/>
      <c r="E2" s="9"/>
      <c r="F2" s="9"/>
      <c r="G2" s="9"/>
      <c r="H2" s="9"/>
      <c r="I2" s="9"/>
      <c r="J2" s="9"/>
      <c r="K2" s="9"/>
      <c r="L2" s="9"/>
      <c r="M2" s="9"/>
      <c r="N2" s="9"/>
      <c r="O2" s="9"/>
      <c r="P2" s="9"/>
      <c r="Q2" s="9"/>
      <c r="R2" s="9"/>
      <c r="S2" s="9"/>
      <c r="T2" s="9"/>
      <c r="U2" s="9"/>
      <c r="V2" s="9"/>
      <c r="W2" s="9"/>
      <c r="X2" s="9"/>
    </row>
    <row r="3" spans="1:25" ht="28.8" x14ac:dyDescent="0.55000000000000004">
      <c r="A3" s="9"/>
      <c r="B3" s="9"/>
      <c r="C3" s="9"/>
      <c r="D3" s="9"/>
      <c r="E3" s="9"/>
      <c r="F3" s="9"/>
      <c r="G3" s="13"/>
      <c r="H3" s="13"/>
      <c r="I3" s="13"/>
      <c r="J3" s="14"/>
      <c r="K3" s="15" t="s">
        <v>1951</v>
      </c>
      <c r="L3" s="16"/>
      <c r="M3" s="16"/>
      <c r="N3" s="16"/>
      <c r="O3" s="10"/>
      <c r="P3" s="10"/>
      <c r="Q3" s="10"/>
      <c r="R3" s="9"/>
      <c r="S3" s="9"/>
      <c r="T3" s="9"/>
      <c r="U3" s="9"/>
      <c r="V3" s="9"/>
      <c r="W3" s="9"/>
      <c r="X3" s="9"/>
    </row>
    <row r="4" spans="1:25" x14ac:dyDescent="0.3">
      <c r="A4" s="9"/>
      <c r="B4" s="9"/>
      <c r="C4" s="9"/>
      <c r="D4" s="9"/>
      <c r="E4" s="9"/>
      <c r="F4" s="9"/>
      <c r="G4" s="9"/>
      <c r="H4" s="9"/>
      <c r="I4" s="9"/>
      <c r="J4" s="9"/>
      <c r="K4" s="9"/>
      <c r="L4" s="9"/>
      <c r="M4" s="9"/>
      <c r="N4" s="9"/>
      <c r="O4" s="9"/>
      <c r="P4" s="9"/>
      <c r="Q4" s="9"/>
      <c r="R4" s="9"/>
      <c r="S4" s="9"/>
      <c r="T4" s="9"/>
      <c r="U4" s="9"/>
      <c r="V4" s="9"/>
      <c r="W4" s="9"/>
      <c r="X4" s="9"/>
    </row>
    <row r="5" spans="1:25" x14ac:dyDescent="0.3">
      <c r="A5" s="9"/>
      <c r="B5" s="9"/>
      <c r="C5" s="9"/>
      <c r="D5" s="9"/>
      <c r="E5" s="9"/>
      <c r="F5" s="9"/>
      <c r="G5" s="9"/>
      <c r="H5" s="9"/>
      <c r="I5" s="9"/>
      <c r="J5" s="9"/>
      <c r="K5" s="9"/>
      <c r="L5" s="9"/>
      <c r="M5" s="9"/>
      <c r="N5" s="9"/>
      <c r="O5" s="9"/>
      <c r="P5" s="9"/>
      <c r="Q5" s="9"/>
      <c r="R5" s="9"/>
      <c r="S5" s="9"/>
      <c r="T5" s="9"/>
      <c r="U5" s="9"/>
      <c r="V5" s="9"/>
      <c r="W5" s="9"/>
      <c r="X5" s="9"/>
    </row>
    <row r="6" spans="1:25" x14ac:dyDescent="0.3">
      <c r="A6" s="9"/>
      <c r="B6" s="9"/>
      <c r="C6" s="9"/>
      <c r="D6" s="9"/>
      <c r="E6" s="9"/>
      <c r="F6" s="9"/>
      <c r="G6" s="9"/>
      <c r="H6" s="9"/>
      <c r="I6" s="9"/>
      <c r="J6" s="9"/>
      <c r="K6" s="9"/>
      <c r="L6" s="9"/>
      <c r="M6" s="9"/>
      <c r="N6" s="9"/>
      <c r="O6" s="9"/>
      <c r="P6" s="9"/>
      <c r="Q6" s="9"/>
      <c r="R6" s="9"/>
      <c r="S6" s="9"/>
      <c r="T6" s="9"/>
      <c r="U6" s="9"/>
      <c r="V6" s="9"/>
      <c r="W6" s="9"/>
      <c r="X6" s="9"/>
    </row>
    <row r="7" spans="1:25" x14ac:dyDescent="0.3">
      <c r="A7" s="9"/>
      <c r="B7" s="9"/>
      <c r="C7" s="9"/>
      <c r="D7" s="9"/>
      <c r="E7" s="9"/>
      <c r="F7" s="9"/>
      <c r="G7" s="9"/>
      <c r="H7" s="9"/>
      <c r="I7" s="9"/>
      <c r="J7" s="9"/>
      <c r="K7" s="9"/>
      <c r="L7" s="9"/>
      <c r="M7" s="9"/>
      <c r="N7" s="9"/>
      <c r="O7" s="9"/>
      <c r="P7" s="9"/>
      <c r="Q7" s="9"/>
      <c r="R7" s="9"/>
      <c r="S7" s="9"/>
      <c r="T7" s="9"/>
      <c r="U7" s="9"/>
      <c r="V7" s="9"/>
      <c r="W7" s="9"/>
      <c r="X7" s="9"/>
    </row>
    <row r="8" spans="1:25" x14ac:dyDescent="0.3">
      <c r="A8" s="13"/>
      <c r="B8" s="13"/>
      <c r="C8" s="13"/>
      <c r="D8" s="13"/>
      <c r="E8" s="13"/>
      <c r="F8" s="13"/>
      <c r="G8" s="13"/>
      <c r="H8" s="13"/>
      <c r="I8" s="13"/>
      <c r="J8" s="13"/>
      <c r="K8" s="13"/>
      <c r="L8" s="13"/>
      <c r="M8" s="13"/>
      <c r="N8" s="13"/>
      <c r="O8" s="13"/>
      <c r="P8" s="13"/>
      <c r="Q8" s="13"/>
      <c r="R8" s="13"/>
      <c r="S8" s="13"/>
      <c r="T8" s="13"/>
      <c r="U8" s="13"/>
      <c r="V8" s="13"/>
      <c r="W8" s="13"/>
      <c r="X8" s="13"/>
    </row>
    <row r="9" spans="1:25" x14ac:dyDescent="0.3">
      <c r="A9" s="13"/>
      <c r="B9" s="13"/>
      <c r="C9" s="13"/>
      <c r="D9" s="13"/>
      <c r="E9" s="13"/>
      <c r="F9" s="13"/>
      <c r="G9" s="13"/>
      <c r="H9" s="13"/>
      <c r="I9" s="13"/>
      <c r="J9" s="13"/>
      <c r="K9" s="13"/>
      <c r="L9" s="13"/>
      <c r="M9" s="13"/>
      <c r="N9" s="13"/>
      <c r="O9" s="13"/>
      <c r="P9" s="13"/>
      <c r="Q9" s="13"/>
      <c r="R9" s="13"/>
      <c r="S9" s="13"/>
      <c r="T9" s="13"/>
      <c r="U9" s="13"/>
      <c r="V9" s="13"/>
      <c r="W9" s="13"/>
      <c r="X9" s="13"/>
    </row>
    <row r="10" spans="1:25"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5"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5"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5"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5"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5"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32"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32"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32"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32"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32"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32"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32"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32"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32"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32"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32"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32"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32"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32"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32"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32"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5EBE9-0A84-4B81-ADC2-8F77D117D072}">
  <dimension ref="A1"/>
  <sheetViews>
    <sheetView workbookViewId="0">
      <selection activeCell="N19" sqref="N19"/>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98C9F-4561-4358-9C52-40A04009B181}">
  <dimension ref="A1:O609"/>
  <sheetViews>
    <sheetView tabSelected="1" topLeftCell="A578" workbookViewId="0">
      <selection activeCell="C593" sqref="C593"/>
    </sheetView>
  </sheetViews>
  <sheetFormatPr defaultRowHeight="14.4" x14ac:dyDescent="0.3"/>
  <cols>
    <col min="1" max="1" width="10.77734375" bestFit="1" customWidth="1"/>
    <col min="2" max="2" width="27.6640625" bestFit="1" customWidth="1"/>
    <col min="3" max="3" width="16.33203125" bestFit="1" customWidth="1"/>
    <col min="4" max="4" width="11.33203125" bestFit="1" customWidth="1"/>
    <col min="5" max="5" width="12.6640625" bestFit="1" customWidth="1"/>
    <col min="6" max="6" width="13.6640625" bestFit="1" customWidth="1"/>
    <col min="7" max="7" width="15.88671875" bestFit="1" customWidth="1"/>
    <col min="8" max="8" width="15.6640625" bestFit="1" customWidth="1"/>
    <col min="9" max="9" width="13.6640625" bestFit="1" customWidth="1"/>
    <col min="10" max="10" width="8" bestFit="1" customWidth="1"/>
    <col min="11" max="11" width="22.33203125" bestFit="1" customWidth="1"/>
    <col min="12" max="12" width="15.88671875" bestFit="1" customWidth="1"/>
    <col min="13" max="13" width="19" bestFit="1" customWidth="1"/>
    <col min="14" max="14" width="12.21875" bestFit="1" customWidth="1"/>
  </cols>
  <sheetData>
    <row r="1" spans="1:15" x14ac:dyDescent="0.3">
      <c r="A1" t="s">
        <v>0</v>
      </c>
      <c r="B1" t="s">
        <v>1</v>
      </c>
      <c r="C1" t="s">
        <v>1313</v>
      </c>
      <c r="D1" t="s">
        <v>3</v>
      </c>
      <c r="E1" t="s">
        <v>4</v>
      </c>
      <c r="F1" t="s">
        <v>5</v>
      </c>
      <c r="G1" t="s">
        <v>6</v>
      </c>
      <c r="H1" t="s">
        <v>7</v>
      </c>
      <c r="I1" t="s">
        <v>8</v>
      </c>
      <c r="J1" t="s">
        <v>9</v>
      </c>
      <c r="K1" t="s">
        <v>10</v>
      </c>
      <c r="L1" t="s">
        <v>13</v>
      </c>
      <c r="M1" t="s">
        <v>14</v>
      </c>
      <c r="N1" t="s">
        <v>16</v>
      </c>
      <c r="O1" s="12" t="s">
        <v>2</v>
      </c>
    </row>
    <row r="2" spans="1:15" x14ac:dyDescent="0.3">
      <c r="A2" t="s">
        <v>17</v>
      </c>
      <c r="B2" t="s">
        <v>1106</v>
      </c>
      <c r="C2" t="s">
        <v>19</v>
      </c>
      <c r="D2" t="s">
        <v>20</v>
      </c>
      <c r="E2" t="s">
        <v>21</v>
      </c>
      <c r="F2" s="2">
        <v>2018</v>
      </c>
      <c r="G2" t="s">
        <v>1314</v>
      </c>
      <c r="H2">
        <v>125</v>
      </c>
      <c r="I2">
        <v>6.5</v>
      </c>
      <c r="J2">
        <v>59570</v>
      </c>
      <c r="K2">
        <v>731.68</v>
      </c>
      <c r="L2" t="s">
        <v>24</v>
      </c>
      <c r="M2" t="s">
        <v>1315</v>
      </c>
      <c r="N2" t="s">
        <v>27</v>
      </c>
      <c r="O2" s="6" t="s">
        <v>19</v>
      </c>
    </row>
    <row r="3" spans="1:15" x14ac:dyDescent="0.3">
      <c r="A3" t="s">
        <v>28</v>
      </c>
      <c r="B3" t="s">
        <v>29</v>
      </c>
      <c r="C3" t="s">
        <v>30</v>
      </c>
      <c r="D3" t="s">
        <v>20</v>
      </c>
      <c r="E3" t="s">
        <v>31</v>
      </c>
      <c r="F3" s="2">
        <v>2015</v>
      </c>
      <c r="G3" t="s">
        <v>1316</v>
      </c>
      <c r="H3">
        <v>113</v>
      </c>
      <c r="I3">
        <v>7.2</v>
      </c>
      <c r="J3">
        <v>50046</v>
      </c>
      <c r="K3">
        <v>256.37</v>
      </c>
      <c r="L3" t="s">
        <v>34</v>
      </c>
      <c r="M3" t="s">
        <v>1317</v>
      </c>
      <c r="N3" t="s">
        <v>36</v>
      </c>
      <c r="O3" s="7" t="s">
        <v>30</v>
      </c>
    </row>
    <row r="4" spans="1:15" x14ac:dyDescent="0.3">
      <c r="A4" t="s">
        <v>37</v>
      </c>
      <c r="B4" t="s">
        <v>38</v>
      </c>
      <c r="C4" t="s">
        <v>39</v>
      </c>
      <c r="D4" t="s">
        <v>40</v>
      </c>
      <c r="E4" t="s">
        <v>41</v>
      </c>
      <c r="F4" s="2">
        <v>2020</v>
      </c>
      <c r="G4" t="s">
        <v>1316</v>
      </c>
      <c r="H4">
        <v>98</v>
      </c>
      <c r="I4">
        <v>6.5</v>
      </c>
      <c r="J4">
        <v>48801</v>
      </c>
      <c r="K4">
        <v>919.99</v>
      </c>
      <c r="L4" t="s">
        <v>43</v>
      </c>
      <c r="M4" t="s">
        <v>1318</v>
      </c>
      <c r="N4" t="s">
        <v>36</v>
      </c>
      <c r="O4" s="6" t="s">
        <v>39</v>
      </c>
    </row>
    <row r="5" spans="1:15" x14ac:dyDescent="0.3">
      <c r="A5" t="s">
        <v>46</v>
      </c>
      <c r="B5" t="s">
        <v>47</v>
      </c>
      <c r="C5" t="s">
        <v>48</v>
      </c>
      <c r="D5" t="s">
        <v>20</v>
      </c>
      <c r="E5" t="s">
        <v>49</v>
      </c>
      <c r="F5" s="2">
        <v>2025</v>
      </c>
      <c r="G5" t="s">
        <v>1319</v>
      </c>
      <c r="H5">
        <v>140</v>
      </c>
      <c r="I5">
        <v>6.9</v>
      </c>
      <c r="J5">
        <v>124852</v>
      </c>
      <c r="K5">
        <v>686.33</v>
      </c>
      <c r="L5" t="s">
        <v>52</v>
      </c>
      <c r="M5" t="s">
        <v>1320</v>
      </c>
      <c r="N5" t="s">
        <v>54</v>
      </c>
      <c r="O5" s="7" t="s">
        <v>48</v>
      </c>
    </row>
    <row r="6" spans="1:15" x14ac:dyDescent="0.3">
      <c r="A6" t="s">
        <v>55</v>
      </c>
      <c r="B6" t="s">
        <v>56</v>
      </c>
      <c r="C6" t="s">
        <v>48</v>
      </c>
      <c r="D6" t="s">
        <v>57</v>
      </c>
      <c r="E6" t="s">
        <v>41</v>
      </c>
      <c r="F6" s="2">
        <v>2017</v>
      </c>
      <c r="G6" t="s">
        <v>1314</v>
      </c>
      <c r="H6">
        <v>151</v>
      </c>
      <c r="I6">
        <v>6.5</v>
      </c>
      <c r="J6">
        <v>406585</v>
      </c>
      <c r="K6">
        <v>363.18</v>
      </c>
      <c r="L6" t="s">
        <v>24</v>
      </c>
      <c r="M6" t="s">
        <v>1321</v>
      </c>
      <c r="N6" t="s">
        <v>60</v>
      </c>
      <c r="O6" s="6" t="s">
        <v>48</v>
      </c>
    </row>
    <row r="7" spans="1:15" x14ac:dyDescent="0.3">
      <c r="A7" t="s">
        <v>61</v>
      </c>
      <c r="B7" t="s">
        <v>62</v>
      </c>
      <c r="C7" t="s">
        <v>63</v>
      </c>
      <c r="D7" t="s">
        <v>64</v>
      </c>
      <c r="E7" t="s">
        <v>21</v>
      </c>
      <c r="F7" s="2">
        <v>2019</v>
      </c>
      <c r="G7" t="s">
        <v>1322</v>
      </c>
      <c r="H7">
        <v>157</v>
      </c>
      <c r="I7">
        <v>7.4</v>
      </c>
      <c r="J7">
        <v>907888</v>
      </c>
      <c r="K7">
        <v>996.22</v>
      </c>
      <c r="L7" t="s">
        <v>66</v>
      </c>
      <c r="M7" t="s">
        <v>1323</v>
      </c>
      <c r="N7" t="s">
        <v>68</v>
      </c>
      <c r="O7" s="7" t="s">
        <v>63</v>
      </c>
    </row>
    <row r="8" spans="1:15" x14ac:dyDescent="0.3">
      <c r="A8" t="s">
        <v>69</v>
      </c>
      <c r="B8" t="s">
        <v>70</v>
      </c>
      <c r="C8" t="s">
        <v>71</v>
      </c>
      <c r="D8" t="s">
        <v>72</v>
      </c>
      <c r="E8" t="s">
        <v>41</v>
      </c>
      <c r="F8" s="2">
        <v>2019</v>
      </c>
      <c r="G8" t="s">
        <v>1322</v>
      </c>
      <c r="H8">
        <v>156</v>
      </c>
      <c r="I8">
        <v>8.6999999999999993</v>
      </c>
      <c r="J8">
        <v>184440</v>
      </c>
      <c r="K8">
        <v>575.89</v>
      </c>
      <c r="L8" t="s">
        <v>73</v>
      </c>
      <c r="M8" t="s">
        <v>1324</v>
      </c>
      <c r="N8" t="s">
        <v>68</v>
      </c>
      <c r="O8" s="6" t="s">
        <v>71</v>
      </c>
    </row>
    <row r="9" spans="1:15" x14ac:dyDescent="0.3">
      <c r="A9" t="s">
        <v>75</v>
      </c>
      <c r="B9" t="s">
        <v>76</v>
      </c>
      <c r="C9" t="s">
        <v>48</v>
      </c>
      <c r="D9" t="s">
        <v>20</v>
      </c>
      <c r="E9" t="s">
        <v>49</v>
      </c>
      <c r="F9" s="2">
        <v>2019</v>
      </c>
      <c r="G9" t="s">
        <v>1325</v>
      </c>
      <c r="H9">
        <v>106</v>
      </c>
      <c r="I9">
        <v>5.7</v>
      </c>
      <c r="J9">
        <v>754052</v>
      </c>
      <c r="K9">
        <v>191.2</v>
      </c>
      <c r="L9" t="s">
        <v>43</v>
      </c>
      <c r="M9" t="s">
        <v>1317</v>
      </c>
      <c r="N9" t="s">
        <v>60</v>
      </c>
      <c r="O9" s="7" t="s">
        <v>48</v>
      </c>
    </row>
    <row r="10" spans="1:15" x14ac:dyDescent="0.3">
      <c r="A10" t="s">
        <v>79</v>
      </c>
      <c r="B10" t="s">
        <v>80</v>
      </c>
      <c r="C10" t="s">
        <v>71</v>
      </c>
      <c r="D10" t="s">
        <v>81</v>
      </c>
      <c r="E10" t="s">
        <v>82</v>
      </c>
      <c r="F10" s="2">
        <v>2016</v>
      </c>
      <c r="G10" t="s">
        <v>1314</v>
      </c>
      <c r="H10">
        <v>110</v>
      </c>
      <c r="I10">
        <v>7.7</v>
      </c>
      <c r="J10">
        <v>275299</v>
      </c>
      <c r="K10">
        <v>339.62</v>
      </c>
      <c r="L10" t="s">
        <v>83</v>
      </c>
      <c r="M10" t="s">
        <v>1315</v>
      </c>
      <c r="N10" t="s">
        <v>54</v>
      </c>
      <c r="O10" s="6" t="s">
        <v>71</v>
      </c>
    </row>
    <row r="11" spans="1:15" x14ac:dyDescent="0.3">
      <c r="A11" t="s">
        <v>84</v>
      </c>
      <c r="B11" t="s">
        <v>85</v>
      </c>
      <c r="C11" t="s">
        <v>86</v>
      </c>
      <c r="D11" t="s">
        <v>87</v>
      </c>
      <c r="E11" t="s">
        <v>88</v>
      </c>
      <c r="F11" s="2">
        <v>2019</v>
      </c>
      <c r="G11" t="s">
        <v>1314</v>
      </c>
      <c r="H11">
        <v>103</v>
      </c>
      <c r="I11">
        <v>7</v>
      </c>
      <c r="J11">
        <v>174974</v>
      </c>
      <c r="K11">
        <v>1298.31</v>
      </c>
      <c r="L11" t="s">
        <v>89</v>
      </c>
      <c r="M11" t="s">
        <v>1323</v>
      </c>
      <c r="N11" t="s">
        <v>68</v>
      </c>
      <c r="O11" s="7" t="s">
        <v>86</v>
      </c>
    </row>
    <row r="12" spans="1:15" x14ac:dyDescent="0.3">
      <c r="A12" t="s">
        <v>90</v>
      </c>
      <c r="B12" t="s">
        <v>91</v>
      </c>
      <c r="C12" t="s">
        <v>39</v>
      </c>
      <c r="D12" t="s">
        <v>20</v>
      </c>
      <c r="E12" t="s">
        <v>92</v>
      </c>
      <c r="F12" s="2">
        <v>2022</v>
      </c>
      <c r="G12" t="s">
        <v>1326</v>
      </c>
      <c r="H12">
        <v>164</v>
      </c>
      <c r="I12">
        <v>6.9</v>
      </c>
      <c r="J12">
        <v>560869</v>
      </c>
      <c r="K12">
        <v>29.89</v>
      </c>
      <c r="L12" t="s">
        <v>43</v>
      </c>
      <c r="M12" t="s">
        <v>1315</v>
      </c>
      <c r="N12" t="s">
        <v>68</v>
      </c>
      <c r="O12" s="6" t="s">
        <v>39</v>
      </c>
    </row>
    <row r="13" spans="1:15" x14ac:dyDescent="0.3">
      <c r="A13" t="s">
        <v>94</v>
      </c>
      <c r="B13" t="s">
        <v>95</v>
      </c>
      <c r="C13" t="s">
        <v>39</v>
      </c>
      <c r="D13" t="s">
        <v>40</v>
      </c>
      <c r="E13" t="s">
        <v>88</v>
      </c>
      <c r="F13" s="2">
        <v>2020</v>
      </c>
      <c r="G13" t="s">
        <v>1327</v>
      </c>
      <c r="H13">
        <v>159</v>
      </c>
      <c r="I13">
        <v>7.2</v>
      </c>
      <c r="J13">
        <v>505723</v>
      </c>
      <c r="K13">
        <v>321.42</v>
      </c>
      <c r="L13" t="s">
        <v>89</v>
      </c>
      <c r="M13" t="s">
        <v>1328</v>
      </c>
      <c r="N13" t="s">
        <v>60</v>
      </c>
      <c r="O13" s="7" t="s">
        <v>39</v>
      </c>
    </row>
    <row r="14" spans="1:15" x14ac:dyDescent="0.3">
      <c r="A14" t="s">
        <v>98</v>
      </c>
      <c r="B14" t="s">
        <v>99</v>
      </c>
      <c r="C14" t="s">
        <v>19</v>
      </c>
      <c r="D14" t="s">
        <v>20</v>
      </c>
      <c r="E14" t="s">
        <v>21</v>
      </c>
      <c r="F14" s="2">
        <v>2017</v>
      </c>
      <c r="G14" t="s">
        <v>1329</v>
      </c>
      <c r="H14">
        <v>139</v>
      </c>
      <c r="I14">
        <v>7.1</v>
      </c>
      <c r="J14">
        <v>599184</v>
      </c>
      <c r="K14">
        <v>553.01</v>
      </c>
      <c r="L14" t="s">
        <v>101</v>
      </c>
      <c r="M14" t="s">
        <v>1324</v>
      </c>
      <c r="N14" t="s">
        <v>60</v>
      </c>
      <c r="O14" s="6" t="s">
        <v>19</v>
      </c>
    </row>
    <row r="15" spans="1:15" x14ac:dyDescent="0.3">
      <c r="A15" t="s">
        <v>102</v>
      </c>
      <c r="B15" t="s">
        <v>103</v>
      </c>
      <c r="C15" t="s">
        <v>104</v>
      </c>
      <c r="D15" t="s">
        <v>87</v>
      </c>
      <c r="E15" t="s">
        <v>88</v>
      </c>
      <c r="F15" s="2">
        <v>2025</v>
      </c>
      <c r="G15" t="s">
        <v>1329</v>
      </c>
      <c r="H15">
        <v>95</v>
      </c>
      <c r="I15">
        <v>7.4</v>
      </c>
      <c r="J15">
        <v>495112</v>
      </c>
      <c r="K15">
        <v>421.76</v>
      </c>
      <c r="L15" t="s">
        <v>83</v>
      </c>
      <c r="M15" t="s">
        <v>1330</v>
      </c>
      <c r="N15" t="s">
        <v>68</v>
      </c>
      <c r="O15" s="7" t="s">
        <v>104</v>
      </c>
    </row>
    <row r="16" spans="1:15" x14ac:dyDescent="0.3">
      <c r="A16" t="s">
        <v>106</v>
      </c>
      <c r="B16" t="s">
        <v>107</v>
      </c>
      <c r="C16" t="s">
        <v>48</v>
      </c>
      <c r="D16" t="s">
        <v>20</v>
      </c>
      <c r="E16" t="s">
        <v>82</v>
      </c>
      <c r="F16" s="2">
        <v>2016</v>
      </c>
      <c r="G16" t="s">
        <v>1331</v>
      </c>
      <c r="H16">
        <v>184</v>
      </c>
      <c r="I16">
        <v>7.7</v>
      </c>
      <c r="J16">
        <v>562452</v>
      </c>
      <c r="K16">
        <v>1471.82</v>
      </c>
      <c r="L16" t="s">
        <v>109</v>
      </c>
      <c r="M16" t="s">
        <v>1323</v>
      </c>
      <c r="N16" t="s">
        <v>60</v>
      </c>
      <c r="O16" s="6" t="s">
        <v>48</v>
      </c>
    </row>
    <row r="17" spans="1:15" x14ac:dyDescent="0.3">
      <c r="A17" t="s">
        <v>110</v>
      </c>
      <c r="B17" t="s">
        <v>111</v>
      </c>
      <c r="C17" t="s">
        <v>112</v>
      </c>
      <c r="D17" t="s">
        <v>64</v>
      </c>
      <c r="E17" t="s">
        <v>41</v>
      </c>
      <c r="F17" s="2">
        <v>2024</v>
      </c>
      <c r="G17" t="s">
        <v>1332</v>
      </c>
      <c r="H17">
        <v>157</v>
      </c>
      <c r="I17">
        <v>6.5</v>
      </c>
      <c r="J17">
        <v>875994</v>
      </c>
      <c r="K17">
        <v>1134.78</v>
      </c>
      <c r="L17" t="s">
        <v>109</v>
      </c>
      <c r="M17" t="s">
        <v>1330</v>
      </c>
      <c r="N17" t="s">
        <v>60</v>
      </c>
      <c r="O17" s="7" t="s">
        <v>112</v>
      </c>
    </row>
    <row r="18" spans="1:15" x14ac:dyDescent="0.3">
      <c r="A18" t="s">
        <v>114</v>
      </c>
      <c r="B18" t="s">
        <v>115</v>
      </c>
      <c r="C18" t="s">
        <v>116</v>
      </c>
      <c r="D18" t="s">
        <v>20</v>
      </c>
      <c r="E18" t="s">
        <v>21</v>
      </c>
      <c r="F18" s="2">
        <v>2023</v>
      </c>
      <c r="G18" t="s">
        <v>1319</v>
      </c>
      <c r="H18">
        <v>132</v>
      </c>
      <c r="I18">
        <v>6.6</v>
      </c>
      <c r="J18">
        <v>918119</v>
      </c>
      <c r="K18">
        <v>55.55</v>
      </c>
      <c r="L18" t="s">
        <v>52</v>
      </c>
      <c r="M18" t="s">
        <v>1323</v>
      </c>
      <c r="N18" t="s">
        <v>54</v>
      </c>
      <c r="O18" s="6" t="s">
        <v>116</v>
      </c>
    </row>
    <row r="19" spans="1:15" x14ac:dyDescent="0.3">
      <c r="A19" t="s">
        <v>117</v>
      </c>
      <c r="B19" t="s">
        <v>118</v>
      </c>
      <c r="C19" t="s">
        <v>63</v>
      </c>
      <c r="D19" t="s">
        <v>20</v>
      </c>
      <c r="E19" t="s">
        <v>41</v>
      </c>
      <c r="F19" s="2">
        <v>2015</v>
      </c>
      <c r="G19" t="s">
        <v>1327</v>
      </c>
      <c r="H19">
        <v>172</v>
      </c>
      <c r="I19">
        <v>4.5</v>
      </c>
      <c r="J19">
        <v>350272</v>
      </c>
      <c r="K19">
        <v>489.93</v>
      </c>
      <c r="L19" t="s">
        <v>119</v>
      </c>
      <c r="M19" t="s">
        <v>1333</v>
      </c>
      <c r="N19" t="s">
        <v>54</v>
      </c>
      <c r="O19" s="7" t="s">
        <v>63</v>
      </c>
    </row>
    <row r="20" spans="1:15" x14ac:dyDescent="0.3">
      <c r="A20" t="s">
        <v>121</v>
      </c>
      <c r="B20" t="s">
        <v>122</v>
      </c>
      <c r="C20" t="s">
        <v>86</v>
      </c>
      <c r="D20" t="s">
        <v>87</v>
      </c>
      <c r="E20" t="s">
        <v>88</v>
      </c>
      <c r="F20" s="2">
        <v>2023</v>
      </c>
      <c r="G20" t="s">
        <v>1322</v>
      </c>
      <c r="H20">
        <v>149</v>
      </c>
      <c r="I20">
        <v>6.3</v>
      </c>
      <c r="J20">
        <v>814394</v>
      </c>
      <c r="K20">
        <v>332.99</v>
      </c>
      <c r="L20" t="s">
        <v>34</v>
      </c>
      <c r="M20" t="s">
        <v>1317</v>
      </c>
      <c r="N20" t="s">
        <v>123</v>
      </c>
      <c r="O20" s="6" t="s">
        <v>86</v>
      </c>
    </row>
    <row r="21" spans="1:15" x14ac:dyDescent="0.3">
      <c r="A21" t="s">
        <v>124</v>
      </c>
      <c r="B21" t="s">
        <v>125</v>
      </c>
      <c r="C21" t="s">
        <v>71</v>
      </c>
      <c r="D21" t="s">
        <v>20</v>
      </c>
      <c r="E21" t="s">
        <v>41</v>
      </c>
      <c r="F21" s="2">
        <v>2016</v>
      </c>
      <c r="G21" t="s">
        <v>1334</v>
      </c>
      <c r="H21">
        <v>135</v>
      </c>
      <c r="I21">
        <v>7.4</v>
      </c>
      <c r="J21">
        <v>222942</v>
      </c>
      <c r="K21">
        <v>369.48</v>
      </c>
      <c r="L21" t="s">
        <v>34</v>
      </c>
      <c r="M21" t="s">
        <v>1335</v>
      </c>
      <c r="N21" t="s">
        <v>36</v>
      </c>
      <c r="O21" s="7" t="s">
        <v>71</v>
      </c>
    </row>
    <row r="22" spans="1:15" x14ac:dyDescent="0.3">
      <c r="A22" t="s">
        <v>128</v>
      </c>
      <c r="B22" t="s">
        <v>129</v>
      </c>
      <c r="C22" t="s">
        <v>130</v>
      </c>
      <c r="D22" t="s">
        <v>81</v>
      </c>
      <c r="E22" t="s">
        <v>21</v>
      </c>
      <c r="F22" s="2">
        <v>2016</v>
      </c>
      <c r="G22" t="s">
        <v>1334</v>
      </c>
      <c r="H22">
        <v>113</v>
      </c>
      <c r="I22">
        <v>7.2</v>
      </c>
      <c r="J22">
        <v>679894</v>
      </c>
      <c r="K22">
        <v>100.48</v>
      </c>
      <c r="L22" t="s">
        <v>43</v>
      </c>
      <c r="M22" t="s">
        <v>1320</v>
      </c>
      <c r="N22" t="s">
        <v>68</v>
      </c>
      <c r="O22" s="6" t="s">
        <v>130</v>
      </c>
    </row>
    <row r="23" spans="1:15" x14ac:dyDescent="0.3">
      <c r="A23" t="s">
        <v>131</v>
      </c>
      <c r="B23" t="s">
        <v>132</v>
      </c>
      <c r="C23" t="s">
        <v>39</v>
      </c>
      <c r="D23" t="s">
        <v>20</v>
      </c>
      <c r="E23" t="s">
        <v>49</v>
      </c>
      <c r="F23" s="2">
        <v>2019</v>
      </c>
      <c r="G23" t="s">
        <v>1332</v>
      </c>
      <c r="H23">
        <v>111</v>
      </c>
      <c r="I23">
        <v>4.5</v>
      </c>
      <c r="J23">
        <v>377015</v>
      </c>
      <c r="K23">
        <v>703.75</v>
      </c>
      <c r="L23" t="s">
        <v>133</v>
      </c>
      <c r="M23" t="s">
        <v>1328</v>
      </c>
      <c r="N23" t="s">
        <v>68</v>
      </c>
      <c r="O23" s="7" t="s">
        <v>39</v>
      </c>
    </row>
    <row r="24" spans="1:15" x14ac:dyDescent="0.3">
      <c r="A24" t="s">
        <v>134</v>
      </c>
      <c r="B24" t="s">
        <v>135</v>
      </c>
      <c r="C24" t="s">
        <v>39</v>
      </c>
      <c r="D24" t="s">
        <v>64</v>
      </c>
      <c r="E24" t="s">
        <v>82</v>
      </c>
      <c r="F24" s="2">
        <v>2023</v>
      </c>
      <c r="G24" t="s">
        <v>1332</v>
      </c>
      <c r="H24">
        <v>160</v>
      </c>
      <c r="I24">
        <v>7.3</v>
      </c>
      <c r="J24">
        <v>662559</v>
      </c>
      <c r="K24">
        <v>20.78</v>
      </c>
      <c r="L24" t="s">
        <v>119</v>
      </c>
      <c r="M24" t="s">
        <v>1336</v>
      </c>
      <c r="N24" t="s">
        <v>60</v>
      </c>
      <c r="O24" s="6" t="s">
        <v>39</v>
      </c>
    </row>
    <row r="25" spans="1:15" x14ac:dyDescent="0.3">
      <c r="A25" t="s">
        <v>137</v>
      </c>
      <c r="B25" t="s">
        <v>138</v>
      </c>
      <c r="C25" t="s">
        <v>30</v>
      </c>
      <c r="D25" t="s">
        <v>20</v>
      </c>
      <c r="E25" t="s">
        <v>139</v>
      </c>
      <c r="F25" s="2">
        <v>2017</v>
      </c>
      <c r="G25" t="s">
        <v>1331</v>
      </c>
      <c r="H25">
        <v>179</v>
      </c>
      <c r="I25">
        <v>7.3</v>
      </c>
      <c r="J25">
        <v>159277</v>
      </c>
      <c r="K25">
        <v>542.32000000000005</v>
      </c>
      <c r="L25" t="s">
        <v>140</v>
      </c>
      <c r="M25" t="s">
        <v>1337</v>
      </c>
      <c r="N25" t="s">
        <v>36</v>
      </c>
      <c r="O25" s="7" t="s">
        <v>30</v>
      </c>
    </row>
    <row r="26" spans="1:15" x14ac:dyDescent="0.3">
      <c r="A26" t="s">
        <v>142</v>
      </c>
      <c r="B26" t="s">
        <v>143</v>
      </c>
      <c r="C26" t="s">
        <v>144</v>
      </c>
      <c r="D26" t="s">
        <v>20</v>
      </c>
      <c r="E26" t="s">
        <v>88</v>
      </c>
      <c r="F26" s="2">
        <v>2015</v>
      </c>
      <c r="G26" t="s">
        <v>1319</v>
      </c>
      <c r="H26">
        <v>124</v>
      </c>
      <c r="I26">
        <v>7</v>
      </c>
      <c r="J26">
        <v>325353</v>
      </c>
      <c r="K26">
        <v>1325.22</v>
      </c>
      <c r="L26" t="s">
        <v>145</v>
      </c>
      <c r="M26" t="s">
        <v>1333</v>
      </c>
      <c r="N26" t="s">
        <v>36</v>
      </c>
      <c r="O26" s="6" t="s">
        <v>144</v>
      </c>
    </row>
    <row r="27" spans="1:15" x14ac:dyDescent="0.3">
      <c r="A27" t="s">
        <v>146</v>
      </c>
      <c r="B27" t="s">
        <v>147</v>
      </c>
      <c r="C27" t="s">
        <v>39</v>
      </c>
      <c r="D27" t="s">
        <v>72</v>
      </c>
      <c r="E27" t="s">
        <v>41</v>
      </c>
      <c r="F27" s="2">
        <v>2021</v>
      </c>
      <c r="G27" t="s">
        <v>1327</v>
      </c>
      <c r="H27">
        <v>152</v>
      </c>
      <c r="I27">
        <v>7.8</v>
      </c>
      <c r="J27">
        <v>230874</v>
      </c>
      <c r="K27">
        <v>452.41</v>
      </c>
      <c r="L27" t="s">
        <v>73</v>
      </c>
      <c r="M27" t="s">
        <v>1338</v>
      </c>
      <c r="N27" t="s">
        <v>60</v>
      </c>
      <c r="O27" s="7" t="s">
        <v>39</v>
      </c>
    </row>
    <row r="28" spans="1:15" x14ac:dyDescent="0.3">
      <c r="A28" t="s">
        <v>149</v>
      </c>
      <c r="B28" t="s">
        <v>150</v>
      </c>
      <c r="C28" t="s">
        <v>19</v>
      </c>
      <c r="D28" t="s">
        <v>87</v>
      </c>
      <c r="E28" t="s">
        <v>41</v>
      </c>
      <c r="F28" s="2">
        <v>2017</v>
      </c>
      <c r="G28" t="s">
        <v>1327</v>
      </c>
      <c r="H28">
        <v>129</v>
      </c>
      <c r="I28">
        <v>8.5</v>
      </c>
      <c r="J28">
        <v>190230</v>
      </c>
      <c r="K28">
        <v>1217.74</v>
      </c>
      <c r="L28" t="s">
        <v>83</v>
      </c>
      <c r="M28" t="s">
        <v>1339</v>
      </c>
      <c r="N28" t="s">
        <v>152</v>
      </c>
      <c r="O28" s="6" t="s">
        <v>19</v>
      </c>
    </row>
    <row r="29" spans="1:15" x14ac:dyDescent="0.3">
      <c r="A29" t="s">
        <v>153</v>
      </c>
      <c r="B29" t="s">
        <v>154</v>
      </c>
      <c r="C29" t="s">
        <v>63</v>
      </c>
      <c r="D29" t="s">
        <v>87</v>
      </c>
      <c r="E29" t="s">
        <v>82</v>
      </c>
      <c r="F29" s="2">
        <v>2018</v>
      </c>
      <c r="G29" t="s">
        <v>1340</v>
      </c>
      <c r="H29">
        <v>147</v>
      </c>
      <c r="I29">
        <v>7.5</v>
      </c>
      <c r="J29">
        <v>933788</v>
      </c>
      <c r="K29">
        <v>820.1</v>
      </c>
      <c r="L29" t="s">
        <v>34</v>
      </c>
      <c r="M29" t="s">
        <v>1335</v>
      </c>
      <c r="N29" t="s">
        <v>68</v>
      </c>
      <c r="O29" s="7" t="s">
        <v>63</v>
      </c>
    </row>
    <row r="30" spans="1:15" x14ac:dyDescent="0.3">
      <c r="A30" t="s">
        <v>156</v>
      </c>
      <c r="B30" t="s">
        <v>157</v>
      </c>
      <c r="C30" t="s">
        <v>30</v>
      </c>
      <c r="D30" t="s">
        <v>20</v>
      </c>
      <c r="E30" t="s">
        <v>31</v>
      </c>
      <c r="F30" s="2">
        <v>2025</v>
      </c>
      <c r="G30" t="s">
        <v>1331</v>
      </c>
      <c r="H30">
        <v>190</v>
      </c>
      <c r="I30">
        <v>6.9</v>
      </c>
      <c r="J30">
        <v>89298</v>
      </c>
      <c r="K30">
        <v>211.56</v>
      </c>
      <c r="L30" t="s">
        <v>119</v>
      </c>
      <c r="M30" t="s">
        <v>1337</v>
      </c>
      <c r="N30" t="s">
        <v>152</v>
      </c>
      <c r="O30" s="6" t="s">
        <v>30</v>
      </c>
    </row>
    <row r="31" spans="1:15" x14ac:dyDescent="0.3">
      <c r="A31" t="s">
        <v>158</v>
      </c>
      <c r="B31" t="s">
        <v>159</v>
      </c>
      <c r="C31" t="s">
        <v>86</v>
      </c>
      <c r="D31" t="s">
        <v>20</v>
      </c>
      <c r="E31" t="s">
        <v>82</v>
      </c>
      <c r="F31" s="2">
        <v>2022</v>
      </c>
      <c r="G31" t="s">
        <v>1332</v>
      </c>
      <c r="H31">
        <v>157</v>
      </c>
      <c r="I31">
        <v>6.7</v>
      </c>
      <c r="J31">
        <v>196492</v>
      </c>
      <c r="K31">
        <v>406.17</v>
      </c>
      <c r="L31" t="s">
        <v>140</v>
      </c>
      <c r="M31" t="s">
        <v>1335</v>
      </c>
      <c r="N31" t="s">
        <v>152</v>
      </c>
      <c r="O31" s="7" t="s">
        <v>86</v>
      </c>
    </row>
    <row r="32" spans="1:15" x14ac:dyDescent="0.3">
      <c r="A32" t="s">
        <v>160</v>
      </c>
      <c r="B32" t="s">
        <v>161</v>
      </c>
      <c r="C32" t="s">
        <v>39</v>
      </c>
      <c r="D32" t="s">
        <v>57</v>
      </c>
      <c r="E32" t="s">
        <v>41</v>
      </c>
      <c r="F32" s="2">
        <v>2025</v>
      </c>
      <c r="G32" t="s">
        <v>1314</v>
      </c>
      <c r="H32">
        <v>183</v>
      </c>
      <c r="I32">
        <v>6.3</v>
      </c>
      <c r="J32">
        <v>579055</v>
      </c>
      <c r="K32">
        <v>108.47</v>
      </c>
      <c r="L32" t="s">
        <v>145</v>
      </c>
      <c r="M32" t="s">
        <v>1336</v>
      </c>
      <c r="N32" t="s">
        <v>152</v>
      </c>
      <c r="O32" s="6" t="s">
        <v>39</v>
      </c>
    </row>
    <row r="33" spans="1:15" x14ac:dyDescent="0.3">
      <c r="A33" t="s">
        <v>162</v>
      </c>
      <c r="B33" t="s">
        <v>163</v>
      </c>
      <c r="C33" t="s">
        <v>19</v>
      </c>
      <c r="D33" t="s">
        <v>87</v>
      </c>
      <c r="E33" t="s">
        <v>41</v>
      </c>
      <c r="F33" s="2">
        <v>2020</v>
      </c>
      <c r="G33" t="s">
        <v>1340</v>
      </c>
      <c r="H33">
        <v>180</v>
      </c>
      <c r="I33">
        <v>5.7</v>
      </c>
      <c r="J33">
        <v>731116</v>
      </c>
      <c r="K33">
        <v>853.69</v>
      </c>
      <c r="L33" t="s">
        <v>66</v>
      </c>
      <c r="M33" t="s">
        <v>1315</v>
      </c>
      <c r="N33" t="s">
        <v>68</v>
      </c>
      <c r="O33" s="7" t="s">
        <v>19</v>
      </c>
    </row>
    <row r="34" spans="1:15" x14ac:dyDescent="0.3">
      <c r="A34" t="s">
        <v>164</v>
      </c>
      <c r="B34" t="s">
        <v>165</v>
      </c>
      <c r="C34" t="s">
        <v>130</v>
      </c>
      <c r="D34" t="s">
        <v>20</v>
      </c>
      <c r="E34" t="s">
        <v>41</v>
      </c>
      <c r="F34" s="2">
        <v>2019</v>
      </c>
      <c r="G34" t="s">
        <v>1326</v>
      </c>
      <c r="H34">
        <v>175</v>
      </c>
      <c r="I34">
        <v>6.3</v>
      </c>
      <c r="J34">
        <v>612811</v>
      </c>
      <c r="K34">
        <v>30.97</v>
      </c>
      <c r="L34" t="s">
        <v>119</v>
      </c>
      <c r="M34" t="s">
        <v>1341</v>
      </c>
      <c r="N34" t="s">
        <v>68</v>
      </c>
      <c r="O34" s="6" t="s">
        <v>130</v>
      </c>
    </row>
    <row r="35" spans="1:15" x14ac:dyDescent="0.3">
      <c r="A35" t="s">
        <v>167</v>
      </c>
      <c r="B35" t="s">
        <v>168</v>
      </c>
      <c r="C35" t="s">
        <v>30</v>
      </c>
      <c r="D35" t="s">
        <v>20</v>
      </c>
      <c r="E35" t="s">
        <v>31</v>
      </c>
      <c r="F35" s="2">
        <v>2020</v>
      </c>
      <c r="G35" t="s">
        <v>1325</v>
      </c>
      <c r="H35">
        <v>111</v>
      </c>
      <c r="I35">
        <v>6.6</v>
      </c>
      <c r="J35">
        <v>717551</v>
      </c>
      <c r="K35">
        <v>794.22</v>
      </c>
      <c r="L35" t="s">
        <v>101</v>
      </c>
      <c r="M35" t="s">
        <v>1337</v>
      </c>
      <c r="N35" t="s">
        <v>27</v>
      </c>
      <c r="O35" s="7" t="s">
        <v>30</v>
      </c>
    </row>
    <row r="36" spans="1:15" x14ac:dyDescent="0.3">
      <c r="A36" t="s">
        <v>169</v>
      </c>
      <c r="B36" t="s">
        <v>170</v>
      </c>
      <c r="C36" t="s">
        <v>86</v>
      </c>
      <c r="D36" t="s">
        <v>171</v>
      </c>
      <c r="E36" t="s">
        <v>82</v>
      </c>
      <c r="F36" s="2">
        <v>2017</v>
      </c>
      <c r="G36" t="s">
        <v>1327</v>
      </c>
      <c r="H36">
        <v>184</v>
      </c>
      <c r="I36">
        <v>6.6</v>
      </c>
      <c r="J36">
        <v>537361</v>
      </c>
      <c r="K36">
        <v>116.4</v>
      </c>
      <c r="L36" t="s">
        <v>145</v>
      </c>
      <c r="M36" t="s">
        <v>1337</v>
      </c>
      <c r="N36" t="s">
        <v>54</v>
      </c>
      <c r="O36" s="6" t="s">
        <v>86</v>
      </c>
    </row>
    <row r="37" spans="1:15" x14ac:dyDescent="0.3">
      <c r="A37" t="s">
        <v>173</v>
      </c>
      <c r="B37" t="s">
        <v>174</v>
      </c>
      <c r="C37" t="s">
        <v>130</v>
      </c>
      <c r="D37" t="s">
        <v>20</v>
      </c>
      <c r="E37" t="s">
        <v>41</v>
      </c>
      <c r="F37" s="2">
        <v>2022</v>
      </c>
      <c r="G37" t="s">
        <v>1316</v>
      </c>
      <c r="H37">
        <v>93</v>
      </c>
      <c r="I37">
        <v>7.8</v>
      </c>
      <c r="J37">
        <v>408688</v>
      </c>
      <c r="K37">
        <v>1576.52</v>
      </c>
      <c r="L37" t="s">
        <v>119</v>
      </c>
      <c r="M37" t="s">
        <v>1339</v>
      </c>
      <c r="N37" t="s">
        <v>27</v>
      </c>
      <c r="O37" s="7" t="s">
        <v>130</v>
      </c>
    </row>
    <row r="38" spans="1:15" x14ac:dyDescent="0.3">
      <c r="A38" t="s">
        <v>175</v>
      </c>
      <c r="B38" t="s">
        <v>176</v>
      </c>
      <c r="C38" t="s">
        <v>86</v>
      </c>
      <c r="D38" t="s">
        <v>20</v>
      </c>
      <c r="E38" t="s">
        <v>41</v>
      </c>
      <c r="F38" s="2">
        <v>2018</v>
      </c>
      <c r="G38" t="s">
        <v>1319</v>
      </c>
      <c r="H38">
        <v>92</v>
      </c>
      <c r="I38">
        <v>7.2</v>
      </c>
      <c r="J38">
        <v>410186</v>
      </c>
      <c r="K38">
        <v>410.23</v>
      </c>
      <c r="L38" t="s">
        <v>140</v>
      </c>
      <c r="M38" t="s">
        <v>1315</v>
      </c>
      <c r="N38" t="s">
        <v>123</v>
      </c>
      <c r="O38" s="6" t="s">
        <v>86</v>
      </c>
    </row>
    <row r="39" spans="1:15" x14ac:dyDescent="0.3">
      <c r="A39" t="s">
        <v>177</v>
      </c>
      <c r="B39" t="s">
        <v>178</v>
      </c>
      <c r="C39" t="s">
        <v>48</v>
      </c>
      <c r="D39" t="s">
        <v>57</v>
      </c>
      <c r="E39" t="s">
        <v>41</v>
      </c>
      <c r="F39" s="2">
        <v>2019</v>
      </c>
      <c r="G39" t="s">
        <v>1340</v>
      </c>
      <c r="H39">
        <v>169</v>
      </c>
      <c r="I39">
        <v>7.1</v>
      </c>
      <c r="J39">
        <v>378517</v>
      </c>
      <c r="K39">
        <v>200.73</v>
      </c>
      <c r="L39" t="s">
        <v>179</v>
      </c>
      <c r="M39" t="s">
        <v>1341</v>
      </c>
      <c r="N39" t="s">
        <v>123</v>
      </c>
      <c r="O39" s="7" t="s">
        <v>48</v>
      </c>
    </row>
    <row r="40" spans="1:15" x14ac:dyDescent="0.3">
      <c r="A40" t="s">
        <v>180</v>
      </c>
      <c r="B40" t="s">
        <v>181</v>
      </c>
      <c r="C40" t="s">
        <v>39</v>
      </c>
      <c r="D40" t="s">
        <v>72</v>
      </c>
      <c r="E40" t="s">
        <v>41</v>
      </c>
      <c r="F40" s="2">
        <v>2021</v>
      </c>
      <c r="G40" t="s">
        <v>1325</v>
      </c>
      <c r="H40">
        <v>131</v>
      </c>
      <c r="I40">
        <v>7.3</v>
      </c>
      <c r="J40">
        <v>324041</v>
      </c>
      <c r="K40">
        <v>662.63</v>
      </c>
      <c r="L40" t="s">
        <v>133</v>
      </c>
      <c r="M40" t="s">
        <v>1338</v>
      </c>
      <c r="N40" t="s">
        <v>27</v>
      </c>
      <c r="O40" s="6" t="s">
        <v>39</v>
      </c>
    </row>
    <row r="41" spans="1:15" x14ac:dyDescent="0.3">
      <c r="A41" t="s">
        <v>182</v>
      </c>
      <c r="B41" t="s">
        <v>183</v>
      </c>
      <c r="C41" t="s">
        <v>86</v>
      </c>
      <c r="D41" t="s">
        <v>20</v>
      </c>
      <c r="E41" t="s">
        <v>31</v>
      </c>
      <c r="F41" s="2">
        <v>2017</v>
      </c>
      <c r="G41" t="s">
        <v>1327</v>
      </c>
      <c r="H41">
        <v>131</v>
      </c>
      <c r="I41">
        <v>8.5</v>
      </c>
      <c r="J41">
        <v>746452</v>
      </c>
      <c r="K41">
        <v>171.55</v>
      </c>
      <c r="L41" t="s">
        <v>52</v>
      </c>
      <c r="M41" t="s">
        <v>1335</v>
      </c>
      <c r="N41" t="s">
        <v>152</v>
      </c>
      <c r="O41" s="7" t="s">
        <v>86</v>
      </c>
    </row>
    <row r="42" spans="1:15" x14ac:dyDescent="0.3">
      <c r="A42" t="s">
        <v>184</v>
      </c>
      <c r="B42" t="s">
        <v>185</v>
      </c>
      <c r="C42" t="s">
        <v>48</v>
      </c>
      <c r="D42" t="s">
        <v>81</v>
      </c>
      <c r="E42" t="s">
        <v>82</v>
      </c>
      <c r="F42" s="2">
        <v>2025</v>
      </c>
      <c r="G42" t="s">
        <v>1326</v>
      </c>
      <c r="H42">
        <v>159</v>
      </c>
      <c r="I42">
        <v>7.1</v>
      </c>
      <c r="J42">
        <v>568450</v>
      </c>
      <c r="K42">
        <v>369.97</v>
      </c>
      <c r="L42" t="s">
        <v>140</v>
      </c>
      <c r="M42" t="s">
        <v>1328</v>
      </c>
      <c r="N42" t="s">
        <v>27</v>
      </c>
      <c r="O42" s="6" t="s">
        <v>48</v>
      </c>
    </row>
    <row r="43" spans="1:15" x14ac:dyDescent="0.3">
      <c r="A43" t="s">
        <v>186</v>
      </c>
      <c r="B43" t="s">
        <v>187</v>
      </c>
      <c r="C43" t="s">
        <v>30</v>
      </c>
      <c r="D43" t="s">
        <v>20</v>
      </c>
      <c r="E43" t="s">
        <v>41</v>
      </c>
      <c r="F43" s="2">
        <v>2019</v>
      </c>
      <c r="G43" t="s">
        <v>1325</v>
      </c>
      <c r="H43">
        <v>187</v>
      </c>
      <c r="I43">
        <v>6.8</v>
      </c>
      <c r="J43">
        <v>122331</v>
      </c>
      <c r="K43">
        <v>150.29</v>
      </c>
      <c r="L43" t="s">
        <v>73</v>
      </c>
      <c r="M43" t="s">
        <v>1330</v>
      </c>
      <c r="N43" t="s">
        <v>54</v>
      </c>
      <c r="O43" s="7" t="s">
        <v>30</v>
      </c>
    </row>
    <row r="44" spans="1:15" x14ac:dyDescent="0.3">
      <c r="A44" t="s">
        <v>188</v>
      </c>
      <c r="B44" t="s">
        <v>189</v>
      </c>
      <c r="C44" t="s">
        <v>86</v>
      </c>
      <c r="D44" t="s">
        <v>20</v>
      </c>
      <c r="E44" t="s">
        <v>92</v>
      </c>
      <c r="F44" s="2">
        <v>2024</v>
      </c>
      <c r="G44" t="s">
        <v>1319</v>
      </c>
      <c r="H44">
        <v>187</v>
      </c>
      <c r="I44">
        <v>7.2</v>
      </c>
      <c r="J44">
        <v>237658</v>
      </c>
      <c r="K44">
        <v>1132.46</v>
      </c>
      <c r="L44" t="s">
        <v>83</v>
      </c>
      <c r="M44" t="s">
        <v>1336</v>
      </c>
      <c r="N44" t="s">
        <v>152</v>
      </c>
      <c r="O44" s="6" t="s">
        <v>86</v>
      </c>
    </row>
    <row r="45" spans="1:15" x14ac:dyDescent="0.3">
      <c r="A45" t="s">
        <v>190</v>
      </c>
      <c r="B45" t="s">
        <v>191</v>
      </c>
      <c r="C45" t="s">
        <v>48</v>
      </c>
      <c r="D45" t="s">
        <v>64</v>
      </c>
      <c r="E45" t="s">
        <v>192</v>
      </c>
      <c r="F45" s="2">
        <v>2025</v>
      </c>
      <c r="G45" t="s">
        <v>1331</v>
      </c>
      <c r="H45">
        <v>135</v>
      </c>
      <c r="I45">
        <v>8</v>
      </c>
      <c r="J45">
        <v>484307</v>
      </c>
      <c r="K45">
        <v>1127.3599999999999</v>
      </c>
      <c r="L45" t="s">
        <v>101</v>
      </c>
      <c r="M45" t="s">
        <v>1336</v>
      </c>
      <c r="N45" t="s">
        <v>54</v>
      </c>
      <c r="O45" s="7" t="s">
        <v>48</v>
      </c>
    </row>
    <row r="46" spans="1:15" x14ac:dyDescent="0.3">
      <c r="A46" t="s">
        <v>193</v>
      </c>
      <c r="B46" t="s">
        <v>194</v>
      </c>
      <c r="C46" t="s">
        <v>39</v>
      </c>
      <c r="D46" t="s">
        <v>20</v>
      </c>
      <c r="E46" t="s">
        <v>92</v>
      </c>
      <c r="F46" s="2">
        <v>2016</v>
      </c>
      <c r="G46" t="s">
        <v>1326</v>
      </c>
      <c r="H46">
        <v>179</v>
      </c>
      <c r="I46">
        <v>6.5</v>
      </c>
      <c r="J46">
        <v>664728</v>
      </c>
      <c r="K46">
        <v>343.8</v>
      </c>
      <c r="L46" t="s">
        <v>109</v>
      </c>
      <c r="M46" t="s">
        <v>1315</v>
      </c>
      <c r="N46" t="s">
        <v>54</v>
      </c>
      <c r="O46" s="6" t="s">
        <v>39</v>
      </c>
    </row>
    <row r="47" spans="1:15" x14ac:dyDescent="0.3">
      <c r="A47" t="s">
        <v>195</v>
      </c>
      <c r="B47" t="s">
        <v>196</v>
      </c>
      <c r="C47" t="s">
        <v>48</v>
      </c>
      <c r="D47" t="s">
        <v>57</v>
      </c>
      <c r="E47" t="s">
        <v>41</v>
      </c>
      <c r="F47" s="2">
        <v>2016</v>
      </c>
      <c r="G47" t="s">
        <v>1314</v>
      </c>
      <c r="H47">
        <v>115</v>
      </c>
      <c r="I47">
        <v>7.8</v>
      </c>
      <c r="J47">
        <v>358156</v>
      </c>
      <c r="K47">
        <v>1314.33</v>
      </c>
      <c r="L47" t="s">
        <v>43</v>
      </c>
      <c r="M47" t="s">
        <v>1321</v>
      </c>
      <c r="N47" t="s">
        <v>123</v>
      </c>
      <c r="O47" s="7" t="s">
        <v>48</v>
      </c>
    </row>
    <row r="48" spans="1:15" x14ac:dyDescent="0.3">
      <c r="A48" t="s">
        <v>197</v>
      </c>
      <c r="B48" t="s">
        <v>198</v>
      </c>
      <c r="C48" t="s">
        <v>116</v>
      </c>
      <c r="D48" t="s">
        <v>20</v>
      </c>
      <c r="E48" t="s">
        <v>31</v>
      </c>
      <c r="F48" s="2">
        <v>2018</v>
      </c>
      <c r="G48" t="s">
        <v>1316</v>
      </c>
      <c r="H48">
        <v>105</v>
      </c>
      <c r="I48">
        <v>6.6</v>
      </c>
      <c r="J48">
        <v>326645</v>
      </c>
      <c r="K48">
        <v>623.76</v>
      </c>
      <c r="L48" t="s">
        <v>179</v>
      </c>
      <c r="M48" t="s">
        <v>1342</v>
      </c>
      <c r="N48" t="s">
        <v>152</v>
      </c>
      <c r="O48" s="6" t="s">
        <v>116</v>
      </c>
    </row>
    <row r="49" spans="1:15" x14ac:dyDescent="0.3">
      <c r="A49" t="s">
        <v>200</v>
      </c>
      <c r="B49" t="s">
        <v>201</v>
      </c>
      <c r="C49" t="s">
        <v>144</v>
      </c>
      <c r="D49" t="s">
        <v>20</v>
      </c>
      <c r="E49" t="s">
        <v>88</v>
      </c>
      <c r="F49" s="2">
        <v>2018</v>
      </c>
      <c r="G49" t="s">
        <v>1326</v>
      </c>
      <c r="H49">
        <v>166</v>
      </c>
      <c r="I49">
        <v>7.1</v>
      </c>
      <c r="J49">
        <v>251675</v>
      </c>
      <c r="K49">
        <v>1147.58</v>
      </c>
      <c r="L49" t="s">
        <v>83</v>
      </c>
      <c r="M49" t="s">
        <v>1333</v>
      </c>
      <c r="N49" t="s">
        <v>60</v>
      </c>
      <c r="O49" s="7" t="s">
        <v>144</v>
      </c>
    </row>
    <row r="50" spans="1:15" x14ac:dyDescent="0.3">
      <c r="A50" t="s">
        <v>202</v>
      </c>
      <c r="B50" t="s">
        <v>203</v>
      </c>
      <c r="C50" t="s">
        <v>39</v>
      </c>
      <c r="D50" t="s">
        <v>40</v>
      </c>
      <c r="E50" t="s">
        <v>88</v>
      </c>
      <c r="F50" s="2">
        <v>2017</v>
      </c>
      <c r="G50" t="s">
        <v>1316</v>
      </c>
      <c r="H50">
        <v>158</v>
      </c>
      <c r="I50">
        <v>7.5</v>
      </c>
      <c r="J50">
        <v>605001</v>
      </c>
      <c r="K50">
        <v>722.11</v>
      </c>
      <c r="L50" t="s">
        <v>179</v>
      </c>
      <c r="M50" t="s">
        <v>1342</v>
      </c>
      <c r="N50" t="s">
        <v>123</v>
      </c>
      <c r="O50" s="6" t="s">
        <v>39</v>
      </c>
    </row>
    <row r="51" spans="1:15" x14ac:dyDescent="0.3">
      <c r="A51" t="s">
        <v>204</v>
      </c>
      <c r="B51" t="s">
        <v>205</v>
      </c>
      <c r="C51" t="s">
        <v>30</v>
      </c>
      <c r="D51" t="s">
        <v>20</v>
      </c>
      <c r="E51" t="s">
        <v>41</v>
      </c>
      <c r="F51" s="2">
        <v>2021</v>
      </c>
      <c r="G51" t="s">
        <v>1327</v>
      </c>
      <c r="H51">
        <v>160</v>
      </c>
      <c r="I51">
        <v>6.5</v>
      </c>
      <c r="J51">
        <v>137857</v>
      </c>
      <c r="K51">
        <v>154.75</v>
      </c>
      <c r="L51" t="s">
        <v>66</v>
      </c>
      <c r="M51" t="s">
        <v>1341</v>
      </c>
      <c r="N51" t="s">
        <v>54</v>
      </c>
      <c r="O51" s="7" t="s">
        <v>30</v>
      </c>
    </row>
    <row r="52" spans="1:15" x14ac:dyDescent="0.3">
      <c r="A52" t="s">
        <v>206</v>
      </c>
      <c r="B52" t="s">
        <v>207</v>
      </c>
      <c r="C52" t="s">
        <v>63</v>
      </c>
      <c r="D52" t="s">
        <v>171</v>
      </c>
      <c r="E52" t="s">
        <v>208</v>
      </c>
      <c r="F52" s="2">
        <v>2015</v>
      </c>
      <c r="G52" t="s">
        <v>1327</v>
      </c>
      <c r="H52">
        <v>172</v>
      </c>
      <c r="I52">
        <v>8.6</v>
      </c>
      <c r="J52">
        <v>591682</v>
      </c>
      <c r="K52">
        <v>330.7</v>
      </c>
      <c r="L52" t="s">
        <v>73</v>
      </c>
      <c r="M52" t="s">
        <v>1339</v>
      </c>
      <c r="N52" t="s">
        <v>36</v>
      </c>
      <c r="O52" s="6" t="s">
        <v>63</v>
      </c>
    </row>
    <row r="53" spans="1:15" x14ac:dyDescent="0.3">
      <c r="A53" t="s">
        <v>209</v>
      </c>
      <c r="B53" t="s">
        <v>210</v>
      </c>
      <c r="C53" t="s">
        <v>63</v>
      </c>
      <c r="D53" t="s">
        <v>211</v>
      </c>
      <c r="E53" t="s">
        <v>208</v>
      </c>
      <c r="F53" s="2">
        <v>2015</v>
      </c>
      <c r="G53" t="s">
        <v>1331</v>
      </c>
      <c r="H53">
        <v>150</v>
      </c>
      <c r="I53">
        <v>6.7</v>
      </c>
      <c r="J53">
        <v>178515</v>
      </c>
      <c r="K53">
        <v>543.04999999999995</v>
      </c>
      <c r="L53" t="s">
        <v>133</v>
      </c>
      <c r="M53" t="s">
        <v>1338</v>
      </c>
      <c r="N53" t="s">
        <v>68</v>
      </c>
      <c r="O53" s="7" t="s">
        <v>63</v>
      </c>
    </row>
    <row r="54" spans="1:15" x14ac:dyDescent="0.3">
      <c r="A54" t="s">
        <v>213</v>
      </c>
      <c r="B54" t="s">
        <v>214</v>
      </c>
      <c r="C54" t="s">
        <v>71</v>
      </c>
      <c r="D54" t="s">
        <v>215</v>
      </c>
      <c r="E54" t="s">
        <v>88</v>
      </c>
      <c r="F54" s="2">
        <v>2023</v>
      </c>
      <c r="G54" t="s">
        <v>1331</v>
      </c>
      <c r="H54">
        <v>127</v>
      </c>
      <c r="I54">
        <v>7.1</v>
      </c>
      <c r="J54">
        <v>912746</v>
      </c>
      <c r="K54">
        <v>173.76</v>
      </c>
      <c r="L54" t="s">
        <v>101</v>
      </c>
      <c r="M54" t="s">
        <v>1321</v>
      </c>
      <c r="N54" t="s">
        <v>123</v>
      </c>
      <c r="O54" s="6" t="s">
        <v>71</v>
      </c>
    </row>
    <row r="55" spans="1:15" x14ac:dyDescent="0.3">
      <c r="A55" t="s">
        <v>217</v>
      </c>
      <c r="B55" t="s">
        <v>218</v>
      </c>
      <c r="C55" t="s">
        <v>39</v>
      </c>
      <c r="D55" t="s">
        <v>20</v>
      </c>
      <c r="E55" t="s">
        <v>49</v>
      </c>
      <c r="F55" s="2">
        <v>2018</v>
      </c>
      <c r="G55" t="s">
        <v>1325</v>
      </c>
      <c r="H55">
        <v>148</v>
      </c>
      <c r="I55">
        <v>5.9</v>
      </c>
      <c r="J55">
        <v>356832</v>
      </c>
      <c r="K55">
        <v>121.59</v>
      </c>
      <c r="L55" t="s">
        <v>179</v>
      </c>
      <c r="M55" t="s">
        <v>1323</v>
      </c>
      <c r="N55" t="s">
        <v>68</v>
      </c>
      <c r="O55" s="7" t="s">
        <v>39</v>
      </c>
    </row>
    <row r="56" spans="1:15" x14ac:dyDescent="0.3">
      <c r="A56" t="s">
        <v>219</v>
      </c>
      <c r="B56" t="s">
        <v>220</v>
      </c>
      <c r="C56" t="s">
        <v>39</v>
      </c>
      <c r="D56" t="s">
        <v>20</v>
      </c>
      <c r="E56" t="s">
        <v>31</v>
      </c>
      <c r="F56" s="2">
        <v>2024</v>
      </c>
      <c r="G56" t="s">
        <v>1316</v>
      </c>
      <c r="H56">
        <v>170</v>
      </c>
      <c r="I56">
        <v>8.1999999999999993</v>
      </c>
      <c r="J56">
        <v>586797</v>
      </c>
      <c r="K56">
        <v>122.78</v>
      </c>
      <c r="L56" t="s">
        <v>140</v>
      </c>
      <c r="M56" t="s">
        <v>1317</v>
      </c>
      <c r="N56" t="s">
        <v>36</v>
      </c>
      <c r="O56" s="6" t="s">
        <v>39</v>
      </c>
    </row>
    <row r="57" spans="1:15" x14ac:dyDescent="0.3">
      <c r="A57" t="s">
        <v>221</v>
      </c>
      <c r="B57" t="s">
        <v>222</v>
      </c>
      <c r="C57" t="s">
        <v>30</v>
      </c>
      <c r="D57" t="s">
        <v>20</v>
      </c>
      <c r="E57" t="s">
        <v>31</v>
      </c>
      <c r="F57" s="2">
        <v>2018</v>
      </c>
      <c r="G57" t="s">
        <v>1340</v>
      </c>
      <c r="H57">
        <v>108</v>
      </c>
      <c r="I57">
        <v>8.6</v>
      </c>
      <c r="J57">
        <v>802634</v>
      </c>
      <c r="K57">
        <v>148.63999999999999</v>
      </c>
      <c r="L57" t="s">
        <v>119</v>
      </c>
      <c r="M57" t="s">
        <v>1336</v>
      </c>
      <c r="N57" t="s">
        <v>54</v>
      </c>
      <c r="O57" s="7" t="s">
        <v>30</v>
      </c>
    </row>
    <row r="58" spans="1:15" x14ac:dyDescent="0.3">
      <c r="A58" t="s">
        <v>223</v>
      </c>
      <c r="B58" t="s">
        <v>224</v>
      </c>
      <c r="C58" t="s">
        <v>19</v>
      </c>
      <c r="D58" t="s">
        <v>20</v>
      </c>
      <c r="E58" t="s">
        <v>21</v>
      </c>
      <c r="F58" s="2">
        <v>2021</v>
      </c>
      <c r="G58" t="s">
        <v>1340</v>
      </c>
      <c r="H58">
        <v>102</v>
      </c>
      <c r="I58">
        <v>6.3</v>
      </c>
      <c r="J58">
        <v>377501</v>
      </c>
      <c r="K58">
        <v>358.14</v>
      </c>
      <c r="L58" t="s">
        <v>73</v>
      </c>
      <c r="M58" t="s">
        <v>1337</v>
      </c>
      <c r="N58" t="s">
        <v>123</v>
      </c>
      <c r="O58" s="6" t="s">
        <v>86</v>
      </c>
    </row>
    <row r="59" spans="1:15" x14ac:dyDescent="0.3">
      <c r="A59" t="s">
        <v>225</v>
      </c>
      <c r="B59" t="s">
        <v>226</v>
      </c>
      <c r="C59" t="s">
        <v>39</v>
      </c>
      <c r="D59" t="s">
        <v>171</v>
      </c>
      <c r="E59" t="s">
        <v>31</v>
      </c>
      <c r="F59" s="2">
        <v>2016</v>
      </c>
      <c r="G59" t="s">
        <v>1329</v>
      </c>
      <c r="H59">
        <v>115</v>
      </c>
      <c r="I59">
        <v>6.8</v>
      </c>
      <c r="J59">
        <v>316579</v>
      </c>
      <c r="K59">
        <v>77.25</v>
      </c>
      <c r="L59" t="s">
        <v>43</v>
      </c>
      <c r="M59" t="s">
        <v>1342</v>
      </c>
      <c r="N59" t="s">
        <v>60</v>
      </c>
      <c r="O59" s="7" t="s">
        <v>19</v>
      </c>
    </row>
    <row r="60" spans="1:15" x14ac:dyDescent="0.3">
      <c r="A60" t="s">
        <v>227</v>
      </c>
      <c r="B60" t="s">
        <v>228</v>
      </c>
      <c r="C60" t="s">
        <v>19</v>
      </c>
      <c r="D60" t="s">
        <v>40</v>
      </c>
      <c r="E60" t="s">
        <v>31</v>
      </c>
      <c r="F60" s="2">
        <v>2021</v>
      </c>
      <c r="G60" t="s">
        <v>1316</v>
      </c>
      <c r="H60">
        <v>132</v>
      </c>
      <c r="I60">
        <v>6.9</v>
      </c>
      <c r="J60">
        <v>667844</v>
      </c>
      <c r="K60">
        <v>69.510000000000005</v>
      </c>
      <c r="L60" t="s">
        <v>119</v>
      </c>
      <c r="M60" t="s">
        <v>1335</v>
      </c>
      <c r="N60" t="s">
        <v>68</v>
      </c>
      <c r="O60" s="6" t="s">
        <v>39</v>
      </c>
    </row>
    <row r="61" spans="1:15" x14ac:dyDescent="0.3">
      <c r="A61" t="s">
        <v>229</v>
      </c>
      <c r="B61" t="s">
        <v>230</v>
      </c>
      <c r="C61" t="s">
        <v>19</v>
      </c>
      <c r="D61" t="s">
        <v>57</v>
      </c>
      <c r="E61" t="s">
        <v>208</v>
      </c>
      <c r="F61" s="2">
        <v>2020</v>
      </c>
      <c r="G61" t="s">
        <v>1329</v>
      </c>
      <c r="H61">
        <v>159</v>
      </c>
      <c r="I61">
        <v>8.6</v>
      </c>
      <c r="J61">
        <v>309134</v>
      </c>
      <c r="K61">
        <v>185.94</v>
      </c>
      <c r="L61" t="s">
        <v>119</v>
      </c>
      <c r="M61" t="s">
        <v>1338</v>
      </c>
      <c r="N61" t="s">
        <v>36</v>
      </c>
      <c r="O61" s="7" t="s">
        <v>19</v>
      </c>
    </row>
    <row r="62" spans="1:15" x14ac:dyDescent="0.3">
      <c r="A62" t="s">
        <v>231</v>
      </c>
      <c r="B62" t="s">
        <v>232</v>
      </c>
      <c r="C62" t="s">
        <v>30</v>
      </c>
      <c r="D62" t="s">
        <v>20</v>
      </c>
      <c r="E62" t="s">
        <v>41</v>
      </c>
      <c r="F62" s="2">
        <v>2019</v>
      </c>
      <c r="G62" t="s">
        <v>1325</v>
      </c>
      <c r="H62">
        <v>119</v>
      </c>
      <c r="I62">
        <v>7.3</v>
      </c>
      <c r="J62">
        <v>426550</v>
      </c>
      <c r="K62">
        <v>281.41000000000003</v>
      </c>
      <c r="L62" t="s">
        <v>140</v>
      </c>
      <c r="M62" t="s">
        <v>1338</v>
      </c>
      <c r="N62" t="s">
        <v>152</v>
      </c>
      <c r="O62" s="6" t="s">
        <v>19</v>
      </c>
    </row>
    <row r="63" spans="1:15" x14ac:dyDescent="0.3">
      <c r="A63" t="s">
        <v>233</v>
      </c>
      <c r="B63" t="s">
        <v>234</v>
      </c>
      <c r="C63" t="s">
        <v>144</v>
      </c>
      <c r="D63" t="s">
        <v>20</v>
      </c>
      <c r="E63" t="s">
        <v>88</v>
      </c>
      <c r="F63" s="2">
        <v>2016</v>
      </c>
      <c r="G63" t="s">
        <v>1334</v>
      </c>
      <c r="H63">
        <v>96</v>
      </c>
      <c r="I63">
        <v>6.1</v>
      </c>
      <c r="J63">
        <v>937415</v>
      </c>
      <c r="K63">
        <v>122.65</v>
      </c>
      <c r="L63" t="s">
        <v>83</v>
      </c>
      <c r="M63" t="s">
        <v>1315</v>
      </c>
      <c r="N63" t="s">
        <v>152</v>
      </c>
      <c r="O63" s="7" t="s">
        <v>30</v>
      </c>
    </row>
    <row r="64" spans="1:15" x14ac:dyDescent="0.3">
      <c r="A64" t="s">
        <v>235</v>
      </c>
      <c r="B64" t="s">
        <v>236</v>
      </c>
      <c r="C64" t="s">
        <v>71</v>
      </c>
      <c r="D64" t="s">
        <v>87</v>
      </c>
      <c r="E64" t="s">
        <v>31</v>
      </c>
      <c r="F64" s="2">
        <v>2022</v>
      </c>
      <c r="G64" t="s">
        <v>1326</v>
      </c>
      <c r="H64">
        <v>179</v>
      </c>
      <c r="I64">
        <v>7.1</v>
      </c>
      <c r="J64">
        <v>800777</v>
      </c>
      <c r="K64">
        <v>1631.28</v>
      </c>
      <c r="L64" t="s">
        <v>145</v>
      </c>
      <c r="M64" t="s">
        <v>1338</v>
      </c>
      <c r="N64" t="s">
        <v>54</v>
      </c>
      <c r="O64" s="6" t="s">
        <v>144</v>
      </c>
    </row>
    <row r="65" spans="1:15" x14ac:dyDescent="0.3">
      <c r="A65" t="s">
        <v>237</v>
      </c>
      <c r="B65" t="s">
        <v>238</v>
      </c>
      <c r="C65" t="s">
        <v>112</v>
      </c>
      <c r="D65" t="s">
        <v>171</v>
      </c>
      <c r="E65" t="s">
        <v>88</v>
      </c>
      <c r="F65" s="2">
        <v>2015</v>
      </c>
      <c r="G65" t="s">
        <v>1314</v>
      </c>
      <c r="H65">
        <v>187</v>
      </c>
      <c r="I65">
        <v>5.8</v>
      </c>
      <c r="J65">
        <v>117119</v>
      </c>
      <c r="K65">
        <v>1471.35</v>
      </c>
      <c r="L65" t="s">
        <v>119</v>
      </c>
      <c r="M65" t="s">
        <v>1335</v>
      </c>
      <c r="N65" t="s">
        <v>60</v>
      </c>
      <c r="O65" s="7" t="s">
        <v>71</v>
      </c>
    </row>
    <row r="66" spans="1:15" x14ac:dyDescent="0.3">
      <c r="A66" t="s">
        <v>239</v>
      </c>
      <c r="B66" t="s">
        <v>240</v>
      </c>
      <c r="C66" t="s">
        <v>130</v>
      </c>
      <c r="D66" t="s">
        <v>20</v>
      </c>
      <c r="E66" t="s">
        <v>41</v>
      </c>
      <c r="F66" s="2">
        <v>2021</v>
      </c>
      <c r="G66" t="s">
        <v>1334</v>
      </c>
      <c r="H66">
        <v>147</v>
      </c>
      <c r="I66">
        <v>7.1</v>
      </c>
      <c r="J66">
        <v>904881</v>
      </c>
      <c r="K66">
        <v>1185.75</v>
      </c>
      <c r="L66" t="s">
        <v>140</v>
      </c>
      <c r="M66" t="s">
        <v>1317</v>
      </c>
      <c r="N66" t="s">
        <v>123</v>
      </c>
      <c r="O66" s="6" t="s">
        <v>112</v>
      </c>
    </row>
    <row r="67" spans="1:15" x14ac:dyDescent="0.3">
      <c r="A67" t="s">
        <v>241</v>
      </c>
      <c r="B67" t="s">
        <v>242</v>
      </c>
      <c r="C67" t="s">
        <v>39</v>
      </c>
      <c r="D67" t="s">
        <v>81</v>
      </c>
      <c r="E67" t="s">
        <v>92</v>
      </c>
      <c r="F67" s="2">
        <v>2018</v>
      </c>
      <c r="G67" t="s">
        <v>1340</v>
      </c>
      <c r="H67">
        <v>187</v>
      </c>
      <c r="I67">
        <v>7.4</v>
      </c>
      <c r="J67">
        <v>570865</v>
      </c>
      <c r="K67">
        <v>1479.26</v>
      </c>
      <c r="L67" t="s">
        <v>89</v>
      </c>
      <c r="M67" t="s">
        <v>1335</v>
      </c>
      <c r="N67" t="s">
        <v>54</v>
      </c>
      <c r="O67" s="7" t="s">
        <v>130</v>
      </c>
    </row>
    <row r="68" spans="1:15" x14ac:dyDescent="0.3">
      <c r="A68" t="s">
        <v>243</v>
      </c>
      <c r="B68" t="s">
        <v>244</v>
      </c>
      <c r="C68" t="s">
        <v>39</v>
      </c>
      <c r="D68" t="s">
        <v>40</v>
      </c>
      <c r="E68" t="s">
        <v>88</v>
      </c>
      <c r="F68" s="2">
        <v>2022</v>
      </c>
      <c r="G68" t="s">
        <v>1322</v>
      </c>
      <c r="H68">
        <v>122</v>
      </c>
      <c r="I68">
        <v>6.8</v>
      </c>
      <c r="J68">
        <v>212183</v>
      </c>
      <c r="K68">
        <v>27.47</v>
      </c>
      <c r="L68" t="s">
        <v>34</v>
      </c>
      <c r="M68" t="s">
        <v>1343</v>
      </c>
      <c r="N68" t="s">
        <v>27</v>
      </c>
      <c r="O68" s="6" t="s">
        <v>39</v>
      </c>
    </row>
    <row r="69" spans="1:15" x14ac:dyDescent="0.3">
      <c r="A69" t="s">
        <v>246</v>
      </c>
      <c r="B69" t="s">
        <v>247</v>
      </c>
      <c r="C69" t="s">
        <v>112</v>
      </c>
      <c r="D69" t="s">
        <v>64</v>
      </c>
      <c r="E69" t="s">
        <v>88</v>
      </c>
      <c r="F69" s="2">
        <v>2016</v>
      </c>
      <c r="G69" t="s">
        <v>1332</v>
      </c>
      <c r="H69">
        <v>171</v>
      </c>
      <c r="I69">
        <v>7.3</v>
      </c>
      <c r="J69">
        <v>877366</v>
      </c>
      <c r="K69">
        <v>1019.69</v>
      </c>
      <c r="L69" t="s">
        <v>52</v>
      </c>
      <c r="M69" t="s">
        <v>1318</v>
      </c>
      <c r="N69" t="s">
        <v>152</v>
      </c>
      <c r="O69" s="7" t="s">
        <v>39</v>
      </c>
    </row>
    <row r="70" spans="1:15" x14ac:dyDescent="0.3">
      <c r="A70" t="s">
        <v>248</v>
      </c>
      <c r="B70" t="s">
        <v>249</v>
      </c>
      <c r="C70" t="s">
        <v>63</v>
      </c>
      <c r="D70" t="s">
        <v>20</v>
      </c>
      <c r="E70" t="s">
        <v>31</v>
      </c>
      <c r="F70" s="2">
        <v>2023</v>
      </c>
      <c r="G70" t="s">
        <v>1319</v>
      </c>
      <c r="H70">
        <v>118</v>
      </c>
      <c r="I70">
        <v>7.8</v>
      </c>
      <c r="J70">
        <v>613486</v>
      </c>
      <c r="K70">
        <v>457.2</v>
      </c>
      <c r="L70" t="s">
        <v>24</v>
      </c>
      <c r="M70" t="s">
        <v>1323</v>
      </c>
      <c r="N70" t="s">
        <v>68</v>
      </c>
      <c r="O70" s="6" t="s">
        <v>112</v>
      </c>
    </row>
    <row r="71" spans="1:15" x14ac:dyDescent="0.3">
      <c r="A71" t="s">
        <v>250</v>
      </c>
      <c r="B71" t="s">
        <v>251</v>
      </c>
      <c r="C71" t="s">
        <v>116</v>
      </c>
      <c r="D71" t="s">
        <v>20</v>
      </c>
      <c r="E71" t="s">
        <v>31</v>
      </c>
      <c r="F71" s="2">
        <v>2021</v>
      </c>
      <c r="G71" t="s">
        <v>1326</v>
      </c>
      <c r="H71">
        <v>95</v>
      </c>
      <c r="I71">
        <v>8.3000000000000007</v>
      </c>
      <c r="J71">
        <v>144685</v>
      </c>
      <c r="K71">
        <v>578.39</v>
      </c>
      <c r="L71" t="s">
        <v>66</v>
      </c>
      <c r="M71" t="s">
        <v>1315</v>
      </c>
      <c r="N71" t="s">
        <v>36</v>
      </c>
      <c r="O71" s="7" t="s">
        <v>63</v>
      </c>
    </row>
    <row r="72" spans="1:15" x14ac:dyDescent="0.3">
      <c r="A72" t="s">
        <v>252</v>
      </c>
      <c r="B72" t="s">
        <v>253</v>
      </c>
      <c r="C72" t="s">
        <v>130</v>
      </c>
      <c r="D72" t="s">
        <v>20</v>
      </c>
      <c r="E72" t="s">
        <v>82</v>
      </c>
      <c r="F72" s="2">
        <v>2017</v>
      </c>
      <c r="G72" t="s">
        <v>1340</v>
      </c>
      <c r="H72">
        <v>148</v>
      </c>
      <c r="I72">
        <v>6.3</v>
      </c>
      <c r="J72">
        <v>608416</v>
      </c>
      <c r="K72">
        <v>792.38</v>
      </c>
      <c r="L72" t="s">
        <v>119</v>
      </c>
      <c r="M72" t="s">
        <v>1336</v>
      </c>
      <c r="N72" t="s">
        <v>27</v>
      </c>
      <c r="O72" s="6" t="s">
        <v>116</v>
      </c>
    </row>
    <row r="73" spans="1:15" x14ac:dyDescent="0.3">
      <c r="A73" t="s">
        <v>254</v>
      </c>
      <c r="B73" t="s">
        <v>255</v>
      </c>
      <c r="C73" t="s">
        <v>48</v>
      </c>
      <c r="D73" t="s">
        <v>64</v>
      </c>
      <c r="E73" t="s">
        <v>41</v>
      </c>
      <c r="F73" s="2">
        <v>2016</v>
      </c>
      <c r="G73" t="s">
        <v>1325</v>
      </c>
      <c r="H73">
        <v>162</v>
      </c>
      <c r="I73">
        <v>7.4</v>
      </c>
      <c r="J73">
        <v>416773</v>
      </c>
      <c r="K73">
        <v>723.65</v>
      </c>
      <c r="L73" t="s">
        <v>52</v>
      </c>
      <c r="M73" t="s">
        <v>1321</v>
      </c>
      <c r="N73" t="s">
        <v>36</v>
      </c>
      <c r="O73" s="7" t="s">
        <v>130</v>
      </c>
    </row>
    <row r="74" spans="1:15" x14ac:dyDescent="0.3">
      <c r="A74" t="s">
        <v>256</v>
      </c>
      <c r="B74" t="s">
        <v>257</v>
      </c>
      <c r="C74" t="s">
        <v>130</v>
      </c>
      <c r="D74" t="s">
        <v>20</v>
      </c>
      <c r="E74" t="s">
        <v>41</v>
      </c>
      <c r="F74" s="2">
        <v>2017</v>
      </c>
      <c r="G74" t="s">
        <v>1316</v>
      </c>
      <c r="H74">
        <v>126</v>
      </c>
      <c r="I74">
        <v>7.8</v>
      </c>
      <c r="J74">
        <v>709883</v>
      </c>
      <c r="K74">
        <v>174.19</v>
      </c>
      <c r="L74" t="s">
        <v>145</v>
      </c>
      <c r="M74" t="s">
        <v>1315</v>
      </c>
      <c r="N74" t="s">
        <v>27</v>
      </c>
      <c r="O74" s="6" t="s">
        <v>48</v>
      </c>
    </row>
    <row r="75" spans="1:15" x14ac:dyDescent="0.3">
      <c r="A75" t="s">
        <v>258</v>
      </c>
      <c r="B75" t="s">
        <v>259</v>
      </c>
      <c r="C75" t="s">
        <v>48</v>
      </c>
      <c r="D75" t="s">
        <v>20</v>
      </c>
      <c r="E75" t="s">
        <v>92</v>
      </c>
      <c r="F75" s="2">
        <v>2023</v>
      </c>
      <c r="G75" t="s">
        <v>1322</v>
      </c>
      <c r="H75">
        <v>165</v>
      </c>
      <c r="I75">
        <v>8.1999999999999993</v>
      </c>
      <c r="J75">
        <v>811959</v>
      </c>
      <c r="K75">
        <v>295.87</v>
      </c>
      <c r="L75" t="s">
        <v>179</v>
      </c>
      <c r="M75" t="s">
        <v>1335</v>
      </c>
      <c r="N75" t="s">
        <v>123</v>
      </c>
      <c r="O75" s="7" t="s">
        <v>130</v>
      </c>
    </row>
    <row r="76" spans="1:15" x14ac:dyDescent="0.3">
      <c r="A76" t="s">
        <v>260</v>
      </c>
      <c r="B76" t="s">
        <v>261</v>
      </c>
      <c r="C76" t="s">
        <v>19</v>
      </c>
      <c r="D76" t="s">
        <v>20</v>
      </c>
      <c r="E76" t="s">
        <v>41</v>
      </c>
      <c r="F76" s="2">
        <v>2016</v>
      </c>
      <c r="G76" t="s">
        <v>1325</v>
      </c>
      <c r="H76">
        <v>88</v>
      </c>
      <c r="I76">
        <v>6.7</v>
      </c>
      <c r="J76">
        <v>582436</v>
      </c>
      <c r="K76">
        <v>83.97</v>
      </c>
      <c r="L76" t="s">
        <v>145</v>
      </c>
      <c r="M76" t="s">
        <v>1324</v>
      </c>
      <c r="N76" t="s">
        <v>152</v>
      </c>
      <c r="O76" s="6" t="s">
        <v>48</v>
      </c>
    </row>
    <row r="77" spans="1:15" x14ac:dyDescent="0.3">
      <c r="A77" t="s">
        <v>262</v>
      </c>
      <c r="B77" t="s">
        <v>263</v>
      </c>
      <c r="C77" t="s">
        <v>86</v>
      </c>
      <c r="D77" t="s">
        <v>87</v>
      </c>
      <c r="E77" t="s">
        <v>82</v>
      </c>
      <c r="F77" s="2">
        <v>2016</v>
      </c>
      <c r="G77" t="s">
        <v>1332</v>
      </c>
      <c r="H77">
        <v>183</v>
      </c>
      <c r="I77">
        <v>8</v>
      </c>
      <c r="J77">
        <v>523107</v>
      </c>
      <c r="K77">
        <v>1145.83</v>
      </c>
      <c r="L77" t="s">
        <v>140</v>
      </c>
      <c r="M77" t="s">
        <v>1342</v>
      </c>
      <c r="N77" t="s">
        <v>54</v>
      </c>
      <c r="O77" s="7" t="s">
        <v>19</v>
      </c>
    </row>
    <row r="78" spans="1:15" x14ac:dyDescent="0.3">
      <c r="A78" t="s">
        <v>264</v>
      </c>
      <c r="B78" t="s">
        <v>265</v>
      </c>
      <c r="C78" t="s">
        <v>48</v>
      </c>
      <c r="D78" t="s">
        <v>20</v>
      </c>
      <c r="E78" t="s">
        <v>139</v>
      </c>
      <c r="F78" s="2">
        <v>2018</v>
      </c>
      <c r="G78" t="s">
        <v>1334</v>
      </c>
      <c r="H78">
        <v>179</v>
      </c>
      <c r="I78">
        <v>6.9</v>
      </c>
      <c r="J78">
        <v>184368</v>
      </c>
      <c r="K78">
        <v>677.36</v>
      </c>
      <c r="L78" t="s">
        <v>119</v>
      </c>
      <c r="M78" t="s">
        <v>1341</v>
      </c>
      <c r="N78" t="s">
        <v>36</v>
      </c>
      <c r="O78" s="6" t="s">
        <v>86</v>
      </c>
    </row>
    <row r="79" spans="1:15" x14ac:dyDescent="0.3">
      <c r="A79" t="s">
        <v>266</v>
      </c>
      <c r="B79" t="s">
        <v>267</v>
      </c>
      <c r="C79" t="s">
        <v>19</v>
      </c>
      <c r="D79" t="s">
        <v>40</v>
      </c>
      <c r="E79" t="s">
        <v>41</v>
      </c>
      <c r="F79" s="2">
        <v>2021</v>
      </c>
      <c r="G79" t="s">
        <v>1319</v>
      </c>
      <c r="H79">
        <v>114</v>
      </c>
      <c r="I79">
        <v>7.8</v>
      </c>
      <c r="J79">
        <v>48845</v>
      </c>
      <c r="K79">
        <v>1620.48</v>
      </c>
      <c r="L79" t="s">
        <v>145</v>
      </c>
      <c r="M79" t="s">
        <v>1338</v>
      </c>
      <c r="N79" t="s">
        <v>123</v>
      </c>
      <c r="O79" s="7" t="s">
        <v>48</v>
      </c>
    </row>
    <row r="80" spans="1:15" x14ac:dyDescent="0.3">
      <c r="A80" t="s">
        <v>268</v>
      </c>
      <c r="B80" t="s">
        <v>269</v>
      </c>
      <c r="C80" t="s">
        <v>130</v>
      </c>
      <c r="D80" t="s">
        <v>20</v>
      </c>
      <c r="E80" t="s">
        <v>41</v>
      </c>
      <c r="F80" s="2">
        <v>2020</v>
      </c>
      <c r="G80" t="s">
        <v>1329</v>
      </c>
      <c r="H80">
        <v>124</v>
      </c>
      <c r="I80">
        <v>7</v>
      </c>
      <c r="J80">
        <v>730800</v>
      </c>
      <c r="K80">
        <v>1257.1300000000001</v>
      </c>
      <c r="L80" t="s">
        <v>133</v>
      </c>
      <c r="M80" t="s">
        <v>1343</v>
      </c>
      <c r="N80" t="s">
        <v>68</v>
      </c>
      <c r="O80" s="6" t="s">
        <v>19</v>
      </c>
    </row>
    <row r="81" spans="1:15" x14ac:dyDescent="0.3">
      <c r="A81" t="s">
        <v>270</v>
      </c>
      <c r="B81" t="s">
        <v>271</v>
      </c>
      <c r="C81" t="s">
        <v>19</v>
      </c>
      <c r="D81" t="s">
        <v>20</v>
      </c>
      <c r="E81" t="s">
        <v>21</v>
      </c>
      <c r="F81" s="2">
        <v>2022</v>
      </c>
      <c r="G81" t="s">
        <v>1327</v>
      </c>
      <c r="H81">
        <v>148</v>
      </c>
      <c r="I81">
        <v>6.5</v>
      </c>
      <c r="J81">
        <v>653744</v>
      </c>
      <c r="L81" t="s">
        <v>73</v>
      </c>
      <c r="M81" t="s">
        <v>1333</v>
      </c>
      <c r="N81" t="s">
        <v>123</v>
      </c>
      <c r="O81" s="7" t="s">
        <v>130</v>
      </c>
    </row>
    <row r="82" spans="1:15" x14ac:dyDescent="0.3">
      <c r="A82" t="s">
        <v>272</v>
      </c>
      <c r="B82" t="s">
        <v>273</v>
      </c>
      <c r="C82" t="s">
        <v>104</v>
      </c>
      <c r="D82" t="s">
        <v>81</v>
      </c>
      <c r="E82" t="s">
        <v>88</v>
      </c>
      <c r="F82" s="2">
        <v>2024</v>
      </c>
      <c r="G82" t="s">
        <v>1319</v>
      </c>
      <c r="H82">
        <v>160</v>
      </c>
      <c r="I82">
        <v>7.7</v>
      </c>
      <c r="J82">
        <v>480901</v>
      </c>
      <c r="K82">
        <v>969.75</v>
      </c>
      <c r="L82" t="s">
        <v>66</v>
      </c>
      <c r="M82" t="s">
        <v>1338</v>
      </c>
      <c r="N82" t="s">
        <v>54</v>
      </c>
      <c r="O82" s="6" t="s">
        <v>19</v>
      </c>
    </row>
    <row r="83" spans="1:15" x14ac:dyDescent="0.3">
      <c r="A83" t="s">
        <v>274</v>
      </c>
      <c r="B83" t="s">
        <v>275</v>
      </c>
      <c r="C83" t="s">
        <v>39</v>
      </c>
      <c r="D83" t="s">
        <v>81</v>
      </c>
      <c r="E83" t="s">
        <v>82</v>
      </c>
      <c r="F83" s="2">
        <v>2019</v>
      </c>
      <c r="G83" t="s">
        <v>1326</v>
      </c>
      <c r="H83">
        <v>179</v>
      </c>
      <c r="I83">
        <v>6.8</v>
      </c>
      <c r="J83">
        <v>464098</v>
      </c>
      <c r="K83">
        <v>508.85</v>
      </c>
      <c r="L83" t="s">
        <v>43</v>
      </c>
      <c r="M83" t="s">
        <v>1338</v>
      </c>
      <c r="N83" t="s">
        <v>60</v>
      </c>
      <c r="O83" s="7" t="s">
        <v>104</v>
      </c>
    </row>
    <row r="84" spans="1:15" x14ac:dyDescent="0.3">
      <c r="A84" t="s">
        <v>276</v>
      </c>
      <c r="B84" t="s">
        <v>277</v>
      </c>
      <c r="C84" t="s">
        <v>39</v>
      </c>
      <c r="D84" t="s">
        <v>72</v>
      </c>
      <c r="E84" t="s">
        <v>41</v>
      </c>
      <c r="F84" s="2">
        <v>2022</v>
      </c>
      <c r="G84" t="s">
        <v>1314</v>
      </c>
      <c r="H84">
        <v>187</v>
      </c>
      <c r="I84">
        <v>6.9</v>
      </c>
      <c r="J84">
        <v>523469</v>
      </c>
      <c r="K84">
        <v>180.07</v>
      </c>
      <c r="L84" t="s">
        <v>24</v>
      </c>
      <c r="M84" t="s">
        <v>1317</v>
      </c>
      <c r="N84" t="s">
        <v>27</v>
      </c>
      <c r="O84" s="6" t="s">
        <v>39</v>
      </c>
    </row>
    <row r="85" spans="1:15" x14ac:dyDescent="0.3">
      <c r="A85" t="s">
        <v>278</v>
      </c>
      <c r="B85" t="s">
        <v>279</v>
      </c>
      <c r="C85" t="s">
        <v>39</v>
      </c>
      <c r="D85" t="s">
        <v>81</v>
      </c>
      <c r="E85" t="s">
        <v>82</v>
      </c>
      <c r="F85" s="2">
        <v>2016</v>
      </c>
      <c r="G85" t="s">
        <v>1314</v>
      </c>
      <c r="H85">
        <v>144</v>
      </c>
      <c r="I85">
        <v>7</v>
      </c>
      <c r="J85">
        <v>713945</v>
      </c>
      <c r="K85">
        <v>216.29</v>
      </c>
      <c r="L85" t="s">
        <v>52</v>
      </c>
      <c r="M85" t="s">
        <v>1330</v>
      </c>
      <c r="N85" t="s">
        <v>60</v>
      </c>
      <c r="O85" s="7" t="s">
        <v>39</v>
      </c>
    </row>
    <row r="86" spans="1:15" x14ac:dyDescent="0.3">
      <c r="A86" t="s">
        <v>280</v>
      </c>
      <c r="B86" t="s">
        <v>281</v>
      </c>
      <c r="C86" t="s">
        <v>116</v>
      </c>
      <c r="D86" t="s">
        <v>64</v>
      </c>
      <c r="E86" t="s">
        <v>41</v>
      </c>
      <c r="F86" s="2">
        <v>2018</v>
      </c>
      <c r="G86" t="s">
        <v>1314</v>
      </c>
      <c r="H86">
        <v>136</v>
      </c>
      <c r="I86">
        <v>6.7</v>
      </c>
      <c r="J86">
        <v>427711</v>
      </c>
      <c r="K86">
        <v>579.44000000000005</v>
      </c>
      <c r="L86" t="s">
        <v>34</v>
      </c>
      <c r="M86" t="s">
        <v>1342</v>
      </c>
      <c r="N86" t="s">
        <v>54</v>
      </c>
      <c r="O86" s="6" t="s">
        <v>39</v>
      </c>
    </row>
    <row r="87" spans="1:15" x14ac:dyDescent="0.3">
      <c r="A87" t="s">
        <v>282</v>
      </c>
      <c r="B87" t="s">
        <v>283</v>
      </c>
      <c r="C87" t="s">
        <v>39</v>
      </c>
      <c r="D87" t="s">
        <v>40</v>
      </c>
      <c r="E87" t="s">
        <v>88</v>
      </c>
      <c r="F87" s="2">
        <v>2015</v>
      </c>
      <c r="G87" t="s">
        <v>1329</v>
      </c>
      <c r="H87">
        <v>172</v>
      </c>
      <c r="I87">
        <v>8.6</v>
      </c>
      <c r="J87">
        <v>744447</v>
      </c>
      <c r="K87">
        <v>127.29</v>
      </c>
      <c r="L87" t="s">
        <v>52</v>
      </c>
      <c r="M87" t="s">
        <v>1337</v>
      </c>
      <c r="N87" t="s">
        <v>27</v>
      </c>
      <c r="O87" s="7" t="s">
        <v>116</v>
      </c>
    </row>
    <row r="88" spans="1:15" x14ac:dyDescent="0.3">
      <c r="A88" t="s">
        <v>284</v>
      </c>
      <c r="B88" t="s">
        <v>285</v>
      </c>
      <c r="C88" t="s">
        <v>86</v>
      </c>
      <c r="D88" t="s">
        <v>20</v>
      </c>
      <c r="E88" t="s">
        <v>82</v>
      </c>
      <c r="F88" s="2">
        <v>2018</v>
      </c>
      <c r="G88" t="s">
        <v>1316</v>
      </c>
      <c r="H88">
        <v>159</v>
      </c>
      <c r="I88">
        <v>6.9</v>
      </c>
      <c r="J88">
        <v>513373</v>
      </c>
      <c r="K88">
        <v>103.59</v>
      </c>
      <c r="L88" t="s">
        <v>89</v>
      </c>
      <c r="M88" t="s">
        <v>1330</v>
      </c>
      <c r="N88" t="s">
        <v>27</v>
      </c>
      <c r="O88" s="6" t="s">
        <v>39</v>
      </c>
    </row>
    <row r="89" spans="1:15" x14ac:dyDescent="0.3">
      <c r="A89" t="s">
        <v>286</v>
      </c>
      <c r="B89" t="s">
        <v>287</v>
      </c>
      <c r="C89" t="s">
        <v>144</v>
      </c>
      <c r="D89" t="s">
        <v>20</v>
      </c>
      <c r="E89" t="s">
        <v>92</v>
      </c>
      <c r="F89" s="2">
        <v>2022</v>
      </c>
      <c r="G89" t="s">
        <v>1326</v>
      </c>
      <c r="H89">
        <v>180</v>
      </c>
      <c r="I89">
        <v>7.6</v>
      </c>
      <c r="J89">
        <v>904142</v>
      </c>
      <c r="K89">
        <v>303.68</v>
      </c>
      <c r="L89" t="s">
        <v>119</v>
      </c>
      <c r="M89" t="s">
        <v>1318</v>
      </c>
      <c r="N89" t="s">
        <v>27</v>
      </c>
      <c r="O89" s="7" t="s">
        <v>86</v>
      </c>
    </row>
    <row r="90" spans="1:15" x14ac:dyDescent="0.3">
      <c r="A90" t="s">
        <v>288</v>
      </c>
      <c r="B90" t="s">
        <v>289</v>
      </c>
      <c r="C90" t="s">
        <v>19</v>
      </c>
      <c r="D90" t="s">
        <v>87</v>
      </c>
      <c r="E90" t="s">
        <v>41</v>
      </c>
      <c r="F90" s="2">
        <v>2015</v>
      </c>
      <c r="G90" t="s">
        <v>1340</v>
      </c>
      <c r="H90">
        <v>168</v>
      </c>
      <c r="I90">
        <v>7.5</v>
      </c>
      <c r="J90">
        <v>422979</v>
      </c>
      <c r="K90">
        <v>1125.54</v>
      </c>
      <c r="L90" t="s">
        <v>179</v>
      </c>
      <c r="M90" t="s">
        <v>1339</v>
      </c>
      <c r="N90" t="s">
        <v>60</v>
      </c>
      <c r="O90" s="6" t="s">
        <v>144</v>
      </c>
    </row>
    <row r="91" spans="1:15" x14ac:dyDescent="0.3">
      <c r="A91" t="s">
        <v>290</v>
      </c>
      <c r="B91" t="s">
        <v>291</v>
      </c>
      <c r="C91" t="s">
        <v>39</v>
      </c>
      <c r="D91" t="s">
        <v>20</v>
      </c>
      <c r="E91" t="s">
        <v>41</v>
      </c>
      <c r="F91" s="2">
        <v>2021</v>
      </c>
      <c r="G91" t="s">
        <v>1316</v>
      </c>
      <c r="H91">
        <v>186</v>
      </c>
      <c r="I91">
        <v>8.1999999999999993</v>
      </c>
      <c r="J91">
        <v>168466</v>
      </c>
      <c r="K91">
        <v>321.3</v>
      </c>
      <c r="L91" t="s">
        <v>66</v>
      </c>
      <c r="M91" t="s">
        <v>1336</v>
      </c>
      <c r="N91" t="s">
        <v>68</v>
      </c>
      <c r="O91" s="7" t="s">
        <v>19</v>
      </c>
    </row>
    <row r="92" spans="1:15" x14ac:dyDescent="0.3">
      <c r="A92" t="s">
        <v>292</v>
      </c>
      <c r="B92" t="s">
        <v>293</v>
      </c>
      <c r="C92" t="s">
        <v>112</v>
      </c>
      <c r="D92" t="s">
        <v>20</v>
      </c>
      <c r="E92" t="s">
        <v>41</v>
      </c>
      <c r="F92" s="2">
        <v>2019</v>
      </c>
      <c r="G92" t="s">
        <v>1340</v>
      </c>
      <c r="H92">
        <v>111</v>
      </c>
      <c r="I92">
        <v>7</v>
      </c>
      <c r="J92">
        <v>290888</v>
      </c>
      <c r="K92">
        <v>801.01</v>
      </c>
      <c r="L92" t="s">
        <v>140</v>
      </c>
      <c r="M92" t="s">
        <v>1330</v>
      </c>
      <c r="N92" t="s">
        <v>54</v>
      </c>
      <c r="O92" s="6" t="s">
        <v>39</v>
      </c>
    </row>
    <row r="93" spans="1:15" x14ac:dyDescent="0.3">
      <c r="A93" t="s">
        <v>294</v>
      </c>
      <c r="B93" t="s">
        <v>295</v>
      </c>
      <c r="C93" t="s">
        <v>39</v>
      </c>
      <c r="D93" t="s">
        <v>81</v>
      </c>
      <c r="E93" t="s">
        <v>82</v>
      </c>
      <c r="F93" s="2">
        <v>2022</v>
      </c>
      <c r="G93" t="s">
        <v>1340</v>
      </c>
      <c r="H93">
        <v>142</v>
      </c>
      <c r="I93">
        <v>7.6</v>
      </c>
      <c r="J93">
        <v>654912</v>
      </c>
      <c r="K93">
        <v>624.61</v>
      </c>
      <c r="L93" t="s">
        <v>179</v>
      </c>
      <c r="M93" t="s">
        <v>1333</v>
      </c>
      <c r="N93" t="s">
        <v>123</v>
      </c>
      <c r="O93" s="7" t="s">
        <v>112</v>
      </c>
    </row>
    <row r="94" spans="1:15" x14ac:dyDescent="0.3">
      <c r="A94" t="s">
        <v>296</v>
      </c>
      <c r="B94" t="s">
        <v>297</v>
      </c>
      <c r="C94" t="s">
        <v>86</v>
      </c>
      <c r="D94" t="s">
        <v>87</v>
      </c>
      <c r="E94" t="s">
        <v>82</v>
      </c>
      <c r="F94" s="2">
        <v>2016</v>
      </c>
      <c r="G94" t="s">
        <v>1326</v>
      </c>
      <c r="H94">
        <v>120</v>
      </c>
      <c r="I94">
        <v>7.5</v>
      </c>
      <c r="J94">
        <v>158608</v>
      </c>
      <c r="K94">
        <v>939.2</v>
      </c>
      <c r="L94" t="s">
        <v>140</v>
      </c>
      <c r="M94" t="s">
        <v>1315</v>
      </c>
      <c r="N94" t="s">
        <v>36</v>
      </c>
      <c r="O94" s="6" t="s">
        <v>39</v>
      </c>
    </row>
    <row r="95" spans="1:15" x14ac:dyDescent="0.3">
      <c r="A95" t="s">
        <v>298</v>
      </c>
      <c r="B95" t="s">
        <v>299</v>
      </c>
      <c r="C95" t="s">
        <v>30</v>
      </c>
      <c r="D95" t="s">
        <v>20</v>
      </c>
      <c r="E95" t="s">
        <v>31</v>
      </c>
      <c r="F95" s="2">
        <v>2017</v>
      </c>
      <c r="G95" t="s">
        <v>1316</v>
      </c>
      <c r="H95">
        <v>141</v>
      </c>
      <c r="I95">
        <v>7.9</v>
      </c>
      <c r="J95">
        <v>755340</v>
      </c>
      <c r="K95">
        <v>230</v>
      </c>
      <c r="L95" t="s">
        <v>52</v>
      </c>
      <c r="M95" t="s">
        <v>1321</v>
      </c>
      <c r="N95" t="s">
        <v>60</v>
      </c>
      <c r="O95" s="7" t="s">
        <v>86</v>
      </c>
    </row>
    <row r="96" spans="1:15" x14ac:dyDescent="0.3">
      <c r="A96" t="s">
        <v>300</v>
      </c>
      <c r="B96" t="s">
        <v>301</v>
      </c>
      <c r="C96" t="s">
        <v>39</v>
      </c>
      <c r="D96" t="s">
        <v>20</v>
      </c>
      <c r="E96" t="s">
        <v>31</v>
      </c>
      <c r="F96" s="2">
        <v>2022</v>
      </c>
      <c r="G96" t="s">
        <v>1316</v>
      </c>
      <c r="H96">
        <v>111</v>
      </c>
      <c r="I96">
        <v>6.6</v>
      </c>
      <c r="J96">
        <v>727290</v>
      </c>
      <c r="K96">
        <v>124.1</v>
      </c>
      <c r="L96" t="s">
        <v>145</v>
      </c>
      <c r="M96" t="s">
        <v>1323</v>
      </c>
      <c r="N96" t="s">
        <v>123</v>
      </c>
      <c r="O96" s="6" t="s">
        <v>30</v>
      </c>
    </row>
    <row r="97" spans="1:15" x14ac:dyDescent="0.3">
      <c r="A97" t="s">
        <v>302</v>
      </c>
      <c r="B97" t="s">
        <v>303</v>
      </c>
      <c r="C97" t="s">
        <v>63</v>
      </c>
      <c r="D97" t="s">
        <v>64</v>
      </c>
      <c r="E97" t="s">
        <v>82</v>
      </c>
      <c r="F97" s="2">
        <v>2015</v>
      </c>
      <c r="G97" t="s">
        <v>1322</v>
      </c>
      <c r="H97">
        <v>135</v>
      </c>
      <c r="I97">
        <v>7.5</v>
      </c>
      <c r="J97">
        <v>501096</v>
      </c>
      <c r="K97">
        <v>408.06</v>
      </c>
      <c r="L97" t="s">
        <v>140</v>
      </c>
      <c r="M97" t="s">
        <v>1324</v>
      </c>
      <c r="N97" t="s">
        <v>68</v>
      </c>
      <c r="O97" s="7" t="s">
        <v>39</v>
      </c>
    </row>
    <row r="98" spans="1:15" x14ac:dyDescent="0.3">
      <c r="A98" t="s">
        <v>304</v>
      </c>
      <c r="B98" t="s">
        <v>305</v>
      </c>
      <c r="C98" t="s">
        <v>39</v>
      </c>
      <c r="D98" t="s">
        <v>72</v>
      </c>
      <c r="E98" t="s">
        <v>192</v>
      </c>
      <c r="F98" s="2">
        <v>2019</v>
      </c>
      <c r="G98" t="s">
        <v>1314</v>
      </c>
      <c r="H98">
        <v>104</v>
      </c>
      <c r="I98">
        <v>8.1999999999999993</v>
      </c>
      <c r="J98">
        <v>258524</v>
      </c>
      <c r="K98">
        <v>673.29</v>
      </c>
      <c r="L98" t="s">
        <v>73</v>
      </c>
      <c r="M98" t="s">
        <v>1338</v>
      </c>
      <c r="N98" t="s">
        <v>27</v>
      </c>
      <c r="O98" s="6" t="s">
        <v>63</v>
      </c>
    </row>
    <row r="99" spans="1:15" x14ac:dyDescent="0.3">
      <c r="A99" t="s">
        <v>306</v>
      </c>
      <c r="B99" t="s">
        <v>307</v>
      </c>
      <c r="C99" t="s">
        <v>86</v>
      </c>
      <c r="D99" t="s">
        <v>87</v>
      </c>
      <c r="E99" t="s">
        <v>82</v>
      </c>
      <c r="F99" s="2">
        <v>2015</v>
      </c>
      <c r="G99" t="s">
        <v>1326</v>
      </c>
      <c r="H99">
        <v>176</v>
      </c>
      <c r="I99">
        <v>6.3</v>
      </c>
      <c r="J99">
        <v>294218</v>
      </c>
      <c r="K99">
        <v>174.8</v>
      </c>
      <c r="L99" t="s">
        <v>24</v>
      </c>
      <c r="M99" t="s">
        <v>1324</v>
      </c>
      <c r="N99" t="s">
        <v>123</v>
      </c>
      <c r="O99" s="7" t="s">
        <v>39</v>
      </c>
    </row>
    <row r="100" spans="1:15" x14ac:dyDescent="0.3">
      <c r="A100" t="s">
        <v>308</v>
      </c>
      <c r="B100" t="s">
        <v>309</v>
      </c>
      <c r="C100" t="s">
        <v>39</v>
      </c>
      <c r="D100" t="s">
        <v>40</v>
      </c>
      <c r="E100" t="s">
        <v>41</v>
      </c>
      <c r="F100" s="2">
        <v>2016</v>
      </c>
      <c r="G100" t="s">
        <v>1322</v>
      </c>
      <c r="H100">
        <v>174</v>
      </c>
      <c r="I100">
        <v>7.5</v>
      </c>
      <c r="J100">
        <v>198164</v>
      </c>
      <c r="K100">
        <v>473.46</v>
      </c>
      <c r="L100" t="s">
        <v>145</v>
      </c>
      <c r="M100" t="s">
        <v>1337</v>
      </c>
      <c r="N100" t="s">
        <v>68</v>
      </c>
      <c r="O100" s="6" t="s">
        <v>86</v>
      </c>
    </row>
    <row r="101" spans="1:15" x14ac:dyDescent="0.3">
      <c r="A101" t="s">
        <v>310</v>
      </c>
      <c r="B101" t="s">
        <v>311</v>
      </c>
      <c r="C101" t="s">
        <v>130</v>
      </c>
      <c r="D101" t="s">
        <v>20</v>
      </c>
      <c r="E101" t="s">
        <v>49</v>
      </c>
      <c r="F101" s="2">
        <v>2017</v>
      </c>
      <c r="G101" t="s">
        <v>1314</v>
      </c>
      <c r="H101">
        <v>180</v>
      </c>
      <c r="I101">
        <v>7.1</v>
      </c>
      <c r="J101">
        <v>635963</v>
      </c>
      <c r="K101">
        <v>520.91</v>
      </c>
      <c r="L101" t="s">
        <v>52</v>
      </c>
      <c r="M101" t="s">
        <v>1335</v>
      </c>
      <c r="N101" t="s">
        <v>68</v>
      </c>
      <c r="O101" s="7" t="s">
        <v>39</v>
      </c>
    </row>
    <row r="102" spans="1:15" x14ac:dyDescent="0.3">
      <c r="A102" t="s">
        <v>312</v>
      </c>
      <c r="B102" t="s">
        <v>313</v>
      </c>
      <c r="C102" t="s">
        <v>48</v>
      </c>
      <c r="D102" t="s">
        <v>57</v>
      </c>
      <c r="E102" t="s">
        <v>41</v>
      </c>
      <c r="F102" s="2">
        <v>2018</v>
      </c>
      <c r="G102" t="s">
        <v>1314</v>
      </c>
      <c r="H102">
        <v>142</v>
      </c>
      <c r="I102">
        <v>5.7</v>
      </c>
      <c r="J102">
        <v>929222</v>
      </c>
      <c r="K102">
        <v>255.33</v>
      </c>
      <c r="L102" t="s">
        <v>43</v>
      </c>
      <c r="M102" t="s">
        <v>1315</v>
      </c>
      <c r="N102" t="s">
        <v>60</v>
      </c>
      <c r="O102" s="6" t="s">
        <v>130</v>
      </c>
    </row>
    <row r="103" spans="1:15" x14ac:dyDescent="0.3">
      <c r="A103" t="s">
        <v>314</v>
      </c>
      <c r="B103" t="s">
        <v>315</v>
      </c>
      <c r="C103" t="s">
        <v>19</v>
      </c>
      <c r="D103" t="s">
        <v>87</v>
      </c>
      <c r="E103" t="s">
        <v>208</v>
      </c>
      <c r="F103" s="2">
        <v>2025</v>
      </c>
      <c r="G103" t="s">
        <v>1334</v>
      </c>
      <c r="H103">
        <v>136</v>
      </c>
      <c r="I103">
        <v>6.4</v>
      </c>
      <c r="J103">
        <v>713326</v>
      </c>
      <c r="K103">
        <v>1077.6500000000001</v>
      </c>
      <c r="L103" t="s">
        <v>43</v>
      </c>
      <c r="M103" t="s">
        <v>1318</v>
      </c>
      <c r="N103" t="s">
        <v>60</v>
      </c>
      <c r="O103" s="7" t="s">
        <v>48</v>
      </c>
    </row>
    <row r="104" spans="1:15" x14ac:dyDescent="0.3">
      <c r="A104" t="s">
        <v>316</v>
      </c>
      <c r="B104" t="s">
        <v>317</v>
      </c>
      <c r="C104" t="s">
        <v>130</v>
      </c>
      <c r="D104" t="s">
        <v>57</v>
      </c>
      <c r="E104" t="s">
        <v>31</v>
      </c>
      <c r="F104" s="2">
        <v>2016</v>
      </c>
      <c r="G104" t="s">
        <v>1331</v>
      </c>
      <c r="H104">
        <v>173</v>
      </c>
      <c r="I104">
        <v>6</v>
      </c>
      <c r="J104">
        <v>871717</v>
      </c>
      <c r="K104">
        <v>233.62</v>
      </c>
      <c r="L104" t="s">
        <v>119</v>
      </c>
      <c r="M104" t="s">
        <v>1342</v>
      </c>
      <c r="N104" t="s">
        <v>68</v>
      </c>
      <c r="O104" s="6" t="s">
        <v>19</v>
      </c>
    </row>
    <row r="105" spans="1:15" x14ac:dyDescent="0.3">
      <c r="A105" t="s">
        <v>318</v>
      </c>
      <c r="B105" t="s">
        <v>319</v>
      </c>
      <c r="C105" t="s">
        <v>19</v>
      </c>
      <c r="D105" t="s">
        <v>20</v>
      </c>
      <c r="E105" t="s">
        <v>21</v>
      </c>
      <c r="F105" s="2">
        <v>2016</v>
      </c>
      <c r="G105" t="s">
        <v>1316</v>
      </c>
      <c r="H105">
        <v>126</v>
      </c>
      <c r="I105">
        <v>7.3</v>
      </c>
      <c r="J105">
        <v>866614</v>
      </c>
      <c r="K105">
        <v>1239.32</v>
      </c>
      <c r="L105" t="s">
        <v>83</v>
      </c>
      <c r="M105" t="s">
        <v>1343</v>
      </c>
      <c r="N105" t="s">
        <v>123</v>
      </c>
      <c r="O105" s="7" t="s">
        <v>130</v>
      </c>
    </row>
    <row r="106" spans="1:15" x14ac:dyDescent="0.3">
      <c r="A106" t="s">
        <v>320</v>
      </c>
      <c r="B106" t="s">
        <v>321</v>
      </c>
      <c r="C106" t="s">
        <v>19</v>
      </c>
      <c r="D106" t="s">
        <v>81</v>
      </c>
      <c r="E106" t="s">
        <v>41</v>
      </c>
      <c r="F106" s="2">
        <v>2017</v>
      </c>
      <c r="G106" t="s">
        <v>1334</v>
      </c>
      <c r="H106">
        <v>122</v>
      </c>
      <c r="I106">
        <v>7.6</v>
      </c>
      <c r="J106">
        <v>246336</v>
      </c>
      <c r="K106">
        <v>1164.81</v>
      </c>
      <c r="L106" t="s">
        <v>83</v>
      </c>
      <c r="M106" t="s">
        <v>1336</v>
      </c>
      <c r="N106" t="s">
        <v>54</v>
      </c>
      <c r="O106" s="6" t="s">
        <v>19</v>
      </c>
    </row>
    <row r="107" spans="1:15" x14ac:dyDescent="0.3">
      <c r="A107" t="s">
        <v>322</v>
      </c>
      <c r="B107" t="s">
        <v>323</v>
      </c>
      <c r="C107" t="s">
        <v>39</v>
      </c>
      <c r="D107" t="s">
        <v>72</v>
      </c>
      <c r="E107" t="s">
        <v>41</v>
      </c>
      <c r="F107" s="2">
        <v>2024</v>
      </c>
      <c r="G107" t="s">
        <v>1322</v>
      </c>
      <c r="H107">
        <v>145</v>
      </c>
      <c r="I107">
        <v>7.6</v>
      </c>
      <c r="J107">
        <v>70265</v>
      </c>
      <c r="K107">
        <v>66.73</v>
      </c>
      <c r="L107" t="s">
        <v>52</v>
      </c>
      <c r="M107" t="s">
        <v>1342</v>
      </c>
      <c r="N107" t="s">
        <v>36</v>
      </c>
      <c r="O107" s="7" t="s">
        <v>19</v>
      </c>
    </row>
    <row r="108" spans="1:15" x14ac:dyDescent="0.3">
      <c r="A108" t="s">
        <v>324</v>
      </c>
      <c r="B108" t="s">
        <v>325</v>
      </c>
      <c r="C108" t="s">
        <v>116</v>
      </c>
      <c r="D108" t="s">
        <v>171</v>
      </c>
      <c r="E108" t="s">
        <v>31</v>
      </c>
      <c r="F108" s="2">
        <v>2015</v>
      </c>
      <c r="G108" t="s">
        <v>1340</v>
      </c>
      <c r="H108">
        <v>107</v>
      </c>
      <c r="I108">
        <v>6.6</v>
      </c>
      <c r="J108">
        <v>434032</v>
      </c>
      <c r="K108">
        <v>764.43</v>
      </c>
      <c r="L108" t="s">
        <v>52</v>
      </c>
      <c r="M108" t="s">
        <v>1341</v>
      </c>
      <c r="N108" t="s">
        <v>152</v>
      </c>
      <c r="O108" s="6" t="s">
        <v>39</v>
      </c>
    </row>
    <row r="109" spans="1:15" x14ac:dyDescent="0.3">
      <c r="A109" t="s">
        <v>326</v>
      </c>
      <c r="B109" t="s">
        <v>327</v>
      </c>
      <c r="C109" t="s">
        <v>19</v>
      </c>
      <c r="D109" t="s">
        <v>211</v>
      </c>
      <c r="E109" t="s">
        <v>31</v>
      </c>
      <c r="F109" s="2">
        <v>2016</v>
      </c>
      <c r="G109" t="s">
        <v>1327</v>
      </c>
      <c r="H109">
        <v>183</v>
      </c>
      <c r="I109">
        <v>7.2</v>
      </c>
      <c r="J109">
        <v>175218</v>
      </c>
      <c r="K109">
        <v>178.18</v>
      </c>
      <c r="L109" t="s">
        <v>52</v>
      </c>
      <c r="M109" t="s">
        <v>1336</v>
      </c>
      <c r="N109" t="s">
        <v>152</v>
      </c>
      <c r="O109" s="7" t="s">
        <v>116</v>
      </c>
    </row>
    <row r="110" spans="1:15" x14ac:dyDescent="0.3">
      <c r="A110" t="s">
        <v>328</v>
      </c>
      <c r="B110" t="s">
        <v>329</v>
      </c>
      <c r="C110" t="s">
        <v>86</v>
      </c>
      <c r="D110" t="s">
        <v>87</v>
      </c>
      <c r="E110" t="s">
        <v>88</v>
      </c>
      <c r="F110" s="2">
        <v>2025</v>
      </c>
      <c r="G110" t="s">
        <v>1332</v>
      </c>
      <c r="H110">
        <v>183</v>
      </c>
      <c r="I110">
        <v>6.3</v>
      </c>
      <c r="J110">
        <v>32557</v>
      </c>
      <c r="K110">
        <v>627.79999999999995</v>
      </c>
      <c r="L110" t="s">
        <v>145</v>
      </c>
      <c r="M110" t="s">
        <v>1343</v>
      </c>
      <c r="N110" t="s">
        <v>36</v>
      </c>
      <c r="O110" s="6" t="s">
        <v>19</v>
      </c>
    </row>
    <row r="111" spans="1:15" x14ac:dyDescent="0.3">
      <c r="A111" t="s">
        <v>330</v>
      </c>
      <c r="B111" t="s">
        <v>331</v>
      </c>
      <c r="C111" t="s">
        <v>39</v>
      </c>
      <c r="D111" t="s">
        <v>64</v>
      </c>
      <c r="E111" t="s">
        <v>21</v>
      </c>
      <c r="F111" s="2">
        <v>2020</v>
      </c>
      <c r="G111" t="s">
        <v>1332</v>
      </c>
      <c r="H111">
        <v>108</v>
      </c>
      <c r="I111">
        <v>7.1</v>
      </c>
      <c r="J111">
        <v>523155</v>
      </c>
      <c r="K111">
        <v>505.9</v>
      </c>
      <c r="L111" t="s">
        <v>109</v>
      </c>
      <c r="M111" t="s">
        <v>1335</v>
      </c>
      <c r="N111" t="s">
        <v>54</v>
      </c>
      <c r="O111" s="7" t="s">
        <v>86</v>
      </c>
    </row>
    <row r="112" spans="1:15" x14ac:dyDescent="0.3">
      <c r="A112" t="s">
        <v>332</v>
      </c>
      <c r="B112" t="s">
        <v>333</v>
      </c>
      <c r="C112" t="s">
        <v>130</v>
      </c>
      <c r="D112" t="s">
        <v>20</v>
      </c>
      <c r="E112" t="s">
        <v>41</v>
      </c>
      <c r="F112" s="2">
        <v>2022</v>
      </c>
      <c r="G112" t="s">
        <v>1327</v>
      </c>
      <c r="H112">
        <v>125</v>
      </c>
      <c r="I112">
        <v>7.8</v>
      </c>
      <c r="J112">
        <v>604527</v>
      </c>
      <c r="K112">
        <v>380.65</v>
      </c>
      <c r="L112" t="s">
        <v>140</v>
      </c>
      <c r="M112" t="s">
        <v>1342</v>
      </c>
      <c r="N112" t="s">
        <v>152</v>
      </c>
      <c r="O112" s="6" t="s">
        <v>39</v>
      </c>
    </row>
    <row r="113" spans="1:15" x14ac:dyDescent="0.3">
      <c r="A113" t="s">
        <v>334</v>
      </c>
      <c r="B113" t="s">
        <v>335</v>
      </c>
      <c r="C113" t="s">
        <v>48</v>
      </c>
      <c r="D113" t="s">
        <v>57</v>
      </c>
      <c r="E113" t="s">
        <v>41</v>
      </c>
      <c r="F113" s="2">
        <v>2017</v>
      </c>
      <c r="G113" t="s">
        <v>1322</v>
      </c>
      <c r="H113">
        <v>136</v>
      </c>
      <c r="I113">
        <v>6.6</v>
      </c>
      <c r="J113">
        <v>896914</v>
      </c>
      <c r="K113">
        <v>663.45</v>
      </c>
      <c r="L113" t="s">
        <v>43</v>
      </c>
      <c r="M113" t="s">
        <v>1321</v>
      </c>
      <c r="N113" t="s">
        <v>68</v>
      </c>
      <c r="O113" s="7" t="s">
        <v>130</v>
      </c>
    </row>
    <row r="114" spans="1:15" x14ac:dyDescent="0.3">
      <c r="A114" t="s">
        <v>336</v>
      </c>
      <c r="B114" t="s">
        <v>337</v>
      </c>
      <c r="C114" t="s">
        <v>63</v>
      </c>
      <c r="D114" t="s">
        <v>87</v>
      </c>
      <c r="E114" t="s">
        <v>41</v>
      </c>
      <c r="F114" s="2">
        <v>2020</v>
      </c>
      <c r="G114" t="s">
        <v>1319</v>
      </c>
      <c r="H114">
        <v>108</v>
      </c>
      <c r="I114">
        <v>7.7</v>
      </c>
      <c r="J114">
        <v>435892</v>
      </c>
      <c r="K114">
        <v>34.57</v>
      </c>
      <c r="L114" t="s">
        <v>140</v>
      </c>
      <c r="M114" t="s">
        <v>1338</v>
      </c>
      <c r="N114" t="s">
        <v>152</v>
      </c>
      <c r="O114" s="6" t="s">
        <v>48</v>
      </c>
    </row>
    <row r="115" spans="1:15" x14ac:dyDescent="0.3">
      <c r="A115" t="s">
        <v>338</v>
      </c>
      <c r="B115" t="s">
        <v>339</v>
      </c>
      <c r="C115" t="s">
        <v>86</v>
      </c>
      <c r="D115" t="s">
        <v>72</v>
      </c>
      <c r="E115" t="s">
        <v>82</v>
      </c>
      <c r="F115" s="2">
        <v>2022</v>
      </c>
      <c r="G115" t="s">
        <v>1329</v>
      </c>
      <c r="H115">
        <v>183</v>
      </c>
      <c r="I115">
        <v>5.7</v>
      </c>
      <c r="J115">
        <v>808078</v>
      </c>
      <c r="K115">
        <v>487.14</v>
      </c>
      <c r="L115" t="s">
        <v>140</v>
      </c>
      <c r="M115" t="s">
        <v>1320</v>
      </c>
      <c r="N115" t="s">
        <v>27</v>
      </c>
      <c r="O115" s="7" t="s">
        <v>63</v>
      </c>
    </row>
    <row r="116" spans="1:15" x14ac:dyDescent="0.3">
      <c r="A116" t="s">
        <v>340</v>
      </c>
      <c r="B116" t="s">
        <v>341</v>
      </c>
      <c r="C116" t="s">
        <v>104</v>
      </c>
      <c r="D116" t="s">
        <v>81</v>
      </c>
      <c r="E116" t="s">
        <v>82</v>
      </c>
      <c r="F116" s="2">
        <v>2025</v>
      </c>
      <c r="G116" t="s">
        <v>1327</v>
      </c>
      <c r="H116">
        <v>179</v>
      </c>
      <c r="I116">
        <v>7.8</v>
      </c>
      <c r="J116">
        <v>747290</v>
      </c>
      <c r="K116">
        <v>586.33000000000004</v>
      </c>
      <c r="L116" t="s">
        <v>34</v>
      </c>
      <c r="M116" t="s">
        <v>1335</v>
      </c>
      <c r="N116" t="s">
        <v>68</v>
      </c>
      <c r="O116" s="6" t="s">
        <v>86</v>
      </c>
    </row>
    <row r="117" spans="1:15" x14ac:dyDescent="0.3">
      <c r="A117" t="s">
        <v>342</v>
      </c>
      <c r="B117" t="s">
        <v>343</v>
      </c>
      <c r="C117" t="s">
        <v>144</v>
      </c>
      <c r="D117" t="s">
        <v>20</v>
      </c>
      <c r="E117" t="s">
        <v>88</v>
      </c>
      <c r="F117" s="2">
        <v>2018</v>
      </c>
      <c r="G117" t="s">
        <v>1319</v>
      </c>
      <c r="H117">
        <v>134</v>
      </c>
      <c r="I117">
        <v>8.6</v>
      </c>
      <c r="J117">
        <v>949591</v>
      </c>
      <c r="K117">
        <v>1377.11</v>
      </c>
      <c r="L117" t="s">
        <v>119</v>
      </c>
      <c r="M117" t="s">
        <v>1341</v>
      </c>
      <c r="N117" t="s">
        <v>152</v>
      </c>
      <c r="O117" s="7" t="s">
        <v>104</v>
      </c>
    </row>
    <row r="118" spans="1:15" x14ac:dyDescent="0.3">
      <c r="A118" t="s">
        <v>344</v>
      </c>
      <c r="B118" t="s">
        <v>345</v>
      </c>
      <c r="C118" t="s">
        <v>86</v>
      </c>
      <c r="D118" t="s">
        <v>20</v>
      </c>
      <c r="E118" t="s">
        <v>41</v>
      </c>
      <c r="F118" s="2">
        <v>2024</v>
      </c>
      <c r="G118" t="s">
        <v>1325</v>
      </c>
      <c r="H118">
        <v>179</v>
      </c>
      <c r="I118">
        <v>8</v>
      </c>
      <c r="J118">
        <v>708224</v>
      </c>
      <c r="K118">
        <v>105.69</v>
      </c>
      <c r="L118" t="s">
        <v>34</v>
      </c>
      <c r="M118" t="s">
        <v>1321</v>
      </c>
      <c r="N118" t="s">
        <v>152</v>
      </c>
      <c r="O118" s="6" t="s">
        <v>144</v>
      </c>
    </row>
    <row r="119" spans="1:15" x14ac:dyDescent="0.3">
      <c r="A119" t="s">
        <v>346</v>
      </c>
      <c r="B119" t="s">
        <v>347</v>
      </c>
      <c r="C119" t="s">
        <v>116</v>
      </c>
      <c r="D119" t="s">
        <v>87</v>
      </c>
      <c r="E119" t="s">
        <v>92</v>
      </c>
      <c r="F119" s="2">
        <v>2016</v>
      </c>
      <c r="G119" t="s">
        <v>1340</v>
      </c>
      <c r="H119">
        <v>170</v>
      </c>
      <c r="I119">
        <v>6.6</v>
      </c>
      <c r="J119">
        <v>381011</v>
      </c>
      <c r="K119">
        <v>563.78</v>
      </c>
      <c r="L119" t="s">
        <v>52</v>
      </c>
      <c r="M119" t="s">
        <v>1323</v>
      </c>
      <c r="N119" t="s">
        <v>36</v>
      </c>
      <c r="O119" s="7" t="s">
        <v>86</v>
      </c>
    </row>
    <row r="120" spans="1:15" x14ac:dyDescent="0.3">
      <c r="A120" t="s">
        <v>348</v>
      </c>
      <c r="B120" t="s">
        <v>349</v>
      </c>
      <c r="C120" t="s">
        <v>144</v>
      </c>
      <c r="D120" t="s">
        <v>20</v>
      </c>
      <c r="E120" t="s">
        <v>208</v>
      </c>
      <c r="F120" s="2">
        <v>2017</v>
      </c>
      <c r="G120" t="s">
        <v>1316</v>
      </c>
      <c r="H120">
        <v>122</v>
      </c>
      <c r="I120">
        <v>7.6</v>
      </c>
      <c r="J120">
        <v>743363</v>
      </c>
      <c r="K120">
        <v>467.13</v>
      </c>
      <c r="L120" t="s">
        <v>133</v>
      </c>
      <c r="M120" t="s">
        <v>1324</v>
      </c>
      <c r="N120" t="s">
        <v>68</v>
      </c>
      <c r="O120" s="6" t="s">
        <v>116</v>
      </c>
    </row>
    <row r="121" spans="1:15" x14ac:dyDescent="0.3">
      <c r="A121" t="s">
        <v>350</v>
      </c>
      <c r="B121" t="s">
        <v>351</v>
      </c>
      <c r="C121" t="s">
        <v>39</v>
      </c>
      <c r="D121" t="s">
        <v>20</v>
      </c>
      <c r="E121" t="s">
        <v>82</v>
      </c>
      <c r="F121" s="2">
        <v>2020</v>
      </c>
      <c r="G121" t="s">
        <v>1325</v>
      </c>
      <c r="H121">
        <v>136</v>
      </c>
      <c r="I121">
        <v>7.6</v>
      </c>
      <c r="J121">
        <v>65254</v>
      </c>
      <c r="K121">
        <v>104.36</v>
      </c>
      <c r="L121" t="s">
        <v>66</v>
      </c>
      <c r="M121" t="s">
        <v>1320</v>
      </c>
      <c r="N121" t="s">
        <v>54</v>
      </c>
      <c r="O121" s="7" t="s">
        <v>144</v>
      </c>
    </row>
    <row r="122" spans="1:15" x14ac:dyDescent="0.3">
      <c r="A122" t="s">
        <v>352</v>
      </c>
      <c r="B122" t="s">
        <v>353</v>
      </c>
      <c r="C122" t="s">
        <v>19</v>
      </c>
      <c r="D122" t="s">
        <v>64</v>
      </c>
      <c r="E122" t="s">
        <v>41</v>
      </c>
      <c r="F122" s="2">
        <v>2024</v>
      </c>
      <c r="G122" t="s">
        <v>1327</v>
      </c>
      <c r="H122">
        <v>94</v>
      </c>
      <c r="I122">
        <v>6.3</v>
      </c>
      <c r="J122">
        <v>139690</v>
      </c>
      <c r="K122">
        <v>1564.53</v>
      </c>
      <c r="L122" t="s">
        <v>34</v>
      </c>
      <c r="M122" t="s">
        <v>1343</v>
      </c>
      <c r="N122" t="s">
        <v>27</v>
      </c>
      <c r="O122" s="6" t="s">
        <v>39</v>
      </c>
    </row>
    <row r="123" spans="1:15" x14ac:dyDescent="0.3">
      <c r="A123" t="s">
        <v>354</v>
      </c>
      <c r="B123" t="s">
        <v>355</v>
      </c>
      <c r="C123" t="s">
        <v>144</v>
      </c>
      <c r="D123" t="s">
        <v>20</v>
      </c>
      <c r="E123" t="s">
        <v>41</v>
      </c>
      <c r="F123" s="2">
        <v>2024</v>
      </c>
      <c r="G123" t="s">
        <v>1322</v>
      </c>
      <c r="H123">
        <v>116</v>
      </c>
      <c r="I123">
        <v>7.1</v>
      </c>
      <c r="J123">
        <v>181416</v>
      </c>
      <c r="K123">
        <v>1090.25</v>
      </c>
      <c r="L123" t="s">
        <v>89</v>
      </c>
      <c r="M123" t="s">
        <v>1333</v>
      </c>
      <c r="N123" t="s">
        <v>152</v>
      </c>
      <c r="O123" s="7" t="s">
        <v>19</v>
      </c>
    </row>
    <row r="124" spans="1:15" x14ac:dyDescent="0.3">
      <c r="A124" t="s">
        <v>356</v>
      </c>
      <c r="B124" t="s">
        <v>357</v>
      </c>
      <c r="C124" t="s">
        <v>19</v>
      </c>
      <c r="D124" t="s">
        <v>211</v>
      </c>
      <c r="E124" t="s">
        <v>41</v>
      </c>
      <c r="F124" s="2">
        <v>2023</v>
      </c>
      <c r="G124" t="s">
        <v>1325</v>
      </c>
      <c r="H124">
        <v>176</v>
      </c>
      <c r="I124">
        <v>6.6</v>
      </c>
      <c r="J124">
        <v>773410</v>
      </c>
      <c r="K124">
        <v>1179.01</v>
      </c>
      <c r="L124" t="s">
        <v>179</v>
      </c>
      <c r="M124" t="s">
        <v>1343</v>
      </c>
      <c r="N124" t="s">
        <v>123</v>
      </c>
      <c r="O124" s="6" t="s">
        <v>144</v>
      </c>
    </row>
    <row r="125" spans="1:15" x14ac:dyDescent="0.3">
      <c r="A125" t="s">
        <v>358</v>
      </c>
      <c r="B125" t="s">
        <v>359</v>
      </c>
      <c r="C125" t="s">
        <v>144</v>
      </c>
      <c r="D125" t="s">
        <v>20</v>
      </c>
      <c r="E125" t="s">
        <v>88</v>
      </c>
      <c r="F125" s="2">
        <v>2025</v>
      </c>
      <c r="G125" t="s">
        <v>1322</v>
      </c>
      <c r="H125">
        <v>133</v>
      </c>
      <c r="I125">
        <v>6.9</v>
      </c>
      <c r="J125">
        <v>407180</v>
      </c>
      <c r="K125">
        <v>640.32000000000005</v>
      </c>
      <c r="L125" t="s">
        <v>101</v>
      </c>
      <c r="M125" t="s">
        <v>1320</v>
      </c>
      <c r="N125" t="s">
        <v>123</v>
      </c>
      <c r="O125" s="7" t="s">
        <v>19</v>
      </c>
    </row>
    <row r="126" spans="1:15" x14ac:dyDescent="0.3">
      <c r="A126" t="s">
        <v>360</v>
      </c>
      <c r="B126" t="s">
        <v>361</v>
      </c>
      <c r="C126" t="s">
        <v>86</v>
      </c>
      <c r="D126" t="s">
        <v>20</v>
      </c>
      <c r="E126" t="s">
        <v>31</v>
      </c>
      <c r="F126" s="2">
        <v>2019</v>
      </c>
      <c r="G126" t="s">
        <v>1314</v>
      </c>
      <c r="H126">
        <v>161</v>
      </c>
      <c r="I126">
        <v>8</v>
      </c>
      <c r="J126">
        <v>494246</v>
      </c>
      <c r="K126">
        <v>62.29</v>
      </c>
      <c r="L126" t="s">
        <v>109</v>
      </c>
      <c r="M126" t="s">
        <v>1330</v>
      </c>
      <c r="N126" t="s">
        <v>123</v>
      </c>
      <c r="O126" s="6" t="s">
        <v>144</v>
      </c>
    </row>
    <row r="127" spans="1:15" x14ac:dyDescent="0.3">
      <c r="A127" t="s">
        <v>362</v>
      </c>
      <c r="B127" t="s">
        <v>363</v>
      </c>
      <c r="C127" t="s">
        <v>39</v>
      </c>
      <c r="D127" t="s">
        <v>64</v>
      </c>
      <c r="E127" t="s">
        <v>192</v>
      </c>
      <c r="F127" s="2">
        <v>2017</v>
      </c>
      <c r="G127" t="s">
        <v>1332</v>
      </c>
      <c r="H127">
        <v>127</v>
      </c>
      <c r="I127">
        <v>7.3</v>
      </c>
      <c r="J127">
        <v>258466</v>
      </c>
      <c r="K127">
        <v>652.54</v>
      </c>
      <c r="L127" t="s">
        <v>140</v>
      </c>
      <c r="M127" t="s">
        <v>1323</v>
      </c>
      <c r="N127" t="s">
        <v>27</v>
      </c>
      <c r="O127" s="7" t="s">
        <v>86</v>
      </c>
    </row>
    <row r="128" spans="1:15" x14ac:dyDescent="0.3">
      <c r="A128" t="s">
        <v>366</v>
      </c>
      <c r="B128" t="s">
        <v>367</v>
      </c>
      <c r="C128" t="s">
        <v>112</v>
      </c>
      <c r="D128" t="s">
        <v>40</v>
      </c>
      <c r="E128" t="s">
        <v>41</v>
      </c>
      <c r="F128" s="2">
        <v>2023</v>
      </c>
      <c r="G128" t="s">
        <v>1327</v>
      </c>
      <c r="H128">
        <v>151</v>
      </c>
      <c r="I128">
        <v>6.7</v>
      </c>
      <c r="J128">
        <v>813567</v>
      </c>
      <c r="K128">
        <v>579.57000000000005</v>
      </c>
      <c r="L128" t="s">
        <v>179</v>
      </c>
      <c r="M128" t="s">
        <v>1342</v>
      </c>
      <c r="N128" t="s">
        <v>54</v>
      </c>
      <c r="O128" s="6" t="s">
        <v>39</v>
      </c>
    </row>
    <row r="129" spans="1:15" x14ac:dyDescent="0.3">
      <c r="A129" t="s">
        <v>368</v>
      </c>
      <c r="B129" t="s">
        <v>369</v>
      </c>
      <c r="C129" t="s">
        <v>48</v>
      </c>
      <c r="D129" t="s">
        <v>20</v>
      </c>
      <c r="E129" t="s">
        <v>82</v>
      </c>
      <c r="F129" s="2">
        <v>2020</v>
      </c>
      <c r="G129" t="s">
        <v>1319</v>
      </c>
      <c r="H129">
        <v>99</v>
      </c>
      <c r="I129">
        <v>6.9</v>
      </c>
      <c r="J129">
        <v>297805</v>
      </c>
      <c r="K129">
        <v>812.53</v>
      </c>
      <c r="L129" t="s">
        <v>73</v>
      </c>
      <c r="M129" t="s">
        <v>1337</v>
      </c>
      <c r="N129" t="s">
        <v>60</v>
      </c>
      <c r="O129" s="7" t="s">
        <v>86</v>
      </c>
    </row>
    <row r="130" spans="1:15" x14ac:dyDescent="0.3">
      <c r="A130" t="s">
        <v>370</v>
      </c>
      <c r="B130" t="s">
        <v>371</v>
      </c>
      <c r="C130" t="s">
        <v>30</v>
      </c>
      <c r="D130" t="s">
        <v>20</v>
      </c>
      <c r="E130" t="s">
        <v>41</v>
      </c>
      <c r="F130" s="2">
        <v>2019</v>
      </c>
      <c r="G130" t="s">
        <v>1314</v>
      </c>
      <c r="H130">
        <v>162</v>
      </c>
      <c r="I130">
        <v>7.1</v>
      </c>
      <c r="J130">
        <v>466271</v>
      </c>
      <c r="K130">
        <v>96.65</v>
      </c>
      <c r="L130" t="s">
        <v>83</v>
      </c>
      <c r="M130" t="s">
        <v>1315</v>
      </c>
      <c r="N130" t="s">
        <v>123</v>
      </c>
      <c r="O130" s="6" t="s">
        <v>112</v>
      </c>
    </row>
    <row r="131" spans="1:15" x14ac:dyDescent="0.3">
      <c r="A131" t="s">
        <v>372</v>
      </c>
      <c r="B131" t="s">
        <v>373</v>
      </c>
      <c r="C131" t="s">
        <v>144</v>
      </c>
      <c r="D131" t="s">
        <v>20</v>
      </c>
      <c r="E131" t="s">
        <v>88</v>
      </c>
      <c r="F131" s="2">
        <v>2017</v>
      </c>
      <c r="G131" t="s">
        <v>1322</v>
      </c>
      <c r="H131">
        <v>89</v>
      </c>
      <c r="I131">
        <v>6.4</v>
      </c>
      <c r="J131">
        <v>341798</v>
      </c>
      <c r="K131">
        <v>850.22</v>
      </c>
      <c r="L131" t="s">
        <v>101</v>
      </c>
      <c r="M131" t="s">
        <v>1321</v>
      </c>
      <c r="N131" t="s">
        <v>123</v>
      </c>
      <c r="O131" s="7" t="s">
        <v>48</v>
      </c>
    </row>
    <row r="132" spans="1:15" x14ac:dyDescent="0.3">
      <c r="A132" t="s">
        <v>374</v>
      </c>
      <c r="B132" t="s">
        <v>375</v>
      </c>
      <c r="C132" t="s">
        <v>144</v>
      </c>
      <c r="D132" t="s">
        <v>20</v>
      </c>
      <c r="E132" t="s">
        <v>88</v>
      </c>
      <c r="F132" s="2">
        <v>2017</v>
      </c>
      <c r="G132" t="s">
        <v>1334</v>
      </c>
      <c r="H132">
        <v>134</v>
      </c>
      <c r="I132">
        <v>7.7</v>
      </c>
      <c r="J132">
        <v>439355</v>
      </c>
      <c r="K132">
        <v>697.26</v>
      </c>
      <c r="L132" t="s">
        <v>133</v>
      </c>
      <c r="M132" t="s">
        <v>1323</v>
      </c>
      <c r="N132" t="s">
        <v>123</v>
      </c>
      <c r="O132" s="6" t="s">
        <v>30</v>
      </c>
    </row>
    <row r="133" spans="1:15" x14ac:dyDescent="0.3">
      <c r="A133" t="s">
        <v>376</v>
      </c>
      <c r="B133" t="s">
        <v>377</v>
      </c>
      <c r="C133" t="s">
        <v>39</v>
      </c>
      <c r="D133" t="s">
        <v>20</v>
      </c>
      <c r="E133" t="s">
        <v>31</v>
      </c>
      <c r="F133" s="2">
        <v>2021</v>
      </c>
      <c r="G133" t="s">
        <v>1329</v>
      </c>
      <c r="H133">
        <v>142</v>
      </c>
      <c r="I133">
        <v>7.4</v>
      </c>
      <c r="J133">
        <v>604667</v>
      </c>
      <c r="K133">
        <v>1076.69</v>
      </c>
      <c r="L133" t="s">
        <v>52</v>
      </c>
      <c r="M133" t="s">
        <v>1337</v>
      </c>
      <c r="N133" t="s">
        <v>27</v>
      </c>
      <c r="O133" s="7" t="s">
        <v>144</v>
      </c>
    </row>
    <row r="134" spans="1:15" x14ac:dyDescent="0.3">
      <c r="A134" t="s">
        <v>378</v>
      </c>
      <c r="B134" t="s">
        <v>379</v>
      </c>
      <c r="C134" t="s">
        <v>86</v>
      </c>
      <c r="D134" t="s">
        <v>20</v>
      </c>
      <c r="E134" t="s">
        <v>82</v>
      </c>
      <c r="F134" s="2">
        <v>2016</v>
      </c>
      <c r="G134" t="s">
        <v>1334</v>
      </c>
      <c r="H134">
        <v>175</v>
      </c>
      <c r="I134">
        <v>6.8</v>
      </c>
      <c r="J134">
        <v>811952</v>
      </c>
      <c r="K134">
        <v>389.15</v>
      </c>
      <c r="L134" t="s">
        <v>101</v>
      </c>
      <c r="M134" t="s">
        <v>1342</v>
      </c>
      <c r="N134" t="s">
        <v>123</v>
      </c>
      <c r="O134" s="6" t="s">
        <v>144</v>
      </c>
    </row>
    <row r="135" spans="1:15" x14ac:dyDescent="0.3">
      <c r="A135" t="s">
        <v>380</v>
      </c>
      <c r="B135" t="s">
        <v>381</v>
      </c>
      <c r="C135" t="s">
        <v>30</v>
      </c>
      <c r="D135" t="s">
        <v>20</v>
      </c>
      <c r="E135" t="s">
        <v>31</v>
      </c>
      <c r="F135" s="2">
        <v>2016</v>
      </c>
      <c r="G135" t="s">
        <v>1326</v>
      </c>
      <c r="H135">
        <v>124</v>
      </c>
      <c r="I135">
        <v>7.1</v>
      </c>
      <c r="J135">
        <v>62575</v>
      </c>
      <c r="K135">
        <v>460</v>
      </c>
      <c r="L135" t="s">
        <v>24</v>
      </c>
      <c r="M135" t="s">
        <v>1320</v>
      </c>
      <c r="N135" t="s">
        <v>27</v>
      </c>
      <c r="O135" s="7" t="s">
        <v>39</v>
      </c>
    </row>
    <row r="136" spans="1:15" x14ac:dyDescent="0.3">
      <c r="A136" t="s">
        <v>382</v>
      </c>
      <c r="B136" t="s">
        <v>383</v>
      </c>
      <c r="C136" t="s">
        <v>19</v>
      </c>
      <c r="D136" t="s">
        <v>64</v>
      </c>
      <c r="E136" t="s">
        <v>92</v>
      </c>
      <c r="F136" s="2">
        <v>2018</v>
      </c>
      <c r="G136" t="s">
        <v>1326</v>
      </c>
      <c r="H136">
        <v>132</v>
      </c>
      <c r="I136">
        <v>7.4</v>
      </c>
      <c r="J136">
        <v>567492</v>
      </c>
      <c r="K136">
        <v>1487.91</v>
      </c>
      <c r="L136" t="s">
        <v>66</v>
      </c>
      <c r="M136" t="s">
        <v>1335</v>
      </c>
      <c r="N136" t="s">
        <v>152</v>
      </c>
      <c r="O136" s="6" t="s">
        <v>86</v>
      </c>
    </row>
    <row r="137" spans="1:15" x14ac:dyDescent="0.3">
      <c r="A137" t="s">
        <v>384</v>
      </c>
      <c r="B137" t="s">
        <v>385</v>
      </c>
      <c r="C137" t="s">
        <v>39</v>
      </c>
      <c r="D137" t="s">
        <v>40</v>
      </c>
      <c r="E137" t="s">
        <v>88</v>
      </c>
      <c r="F137" s="2">
        <v>2020</v>
      </c>
      <c r="G137" t="s">
        <v>1327</v>
      </c>
      <c r="H137">
        <v>145</v>
      </c>
      <c r="I137">
        <v>6.8</v>
      </c>
      <c r="J137">
        <v>599998</v>
      </c>
      <c r="K137">
        <v>835.66</v>
      </c>
      <c r="L137" t="s">
        <v>43</v>
      </c>
      <c r="M137" t="s">
        <v>1341</v>
      </c>
      <c r="N137" t="s">
        <v>27</v>
      </c>
      <c r="O137" s="7" t="s">
        <v>30</v>
      </c>
    </row>
    <row r="138" spans="1:15" x14ac:dyDescent="0.3">
      <c r="A138" t="s">
        <v>388</v>
      </c>
      <c r="B138" t="s">
        <v>389</v>
      </c>
      <c r="C138" t="s">
        <v>144</v>
      </c>
      <c r="D138" t="s">
        <v>20</v>
      </c>
      <c r="E138" t="s">
        <v>31</v>
      </c>
      <c r="F138" s="2">
        <v>2018</v>
      </c>
      <c r="G138" t="s">
        <v>1322</v>
      </c>
      <c r="H138">
        <v>177</v>
      </c>
      <c r="I138">
        <v>7.8</v>
      </c>
      <c r="J138">
        <v>408452</v>
      </c>
      <c r="K138">
        <v>77.91</v>
      </c>
      <c r="L138" t="s">
        <v>89</v>
      </c>
      <c r="M138" t="s">
        <v>1335</v>
      </c>
      <c r="N138" t="s">
        <v>152</v>
      </c>
      <c r="O138" s="6" t="s">
        <v>19</v>
      </c>
    </row>
    <row r="139" spans="1:15" x14ac:dyDescent="0.3">
      <c r="A139" t="s">
        <v>390</v>
      </c>
      <c r="B139" t="s">
        <v>391</v>
      </c>
      <c r="C139" t="s">
        <v>39</v>
      </c>
      <c r="D139" t="s">
        <v>57</v>
      </c>
      <c r="E139" t="s">
        <v>41</v>
      </c>
      <c r="F139" s="2">
        <v>2021</v>
      </c>
      <c r="G139" t="s">
        <v>1322</v>
      </c>
      <c r="H139">
        <v>104</v>
      </c>
      <c r="I139">
        <v>7.5</v>
      </c>
      <c r="J139">
        <v>429868</v>
      </c>
      <c r="K139">
        <v>1673.95</v>
      </c>
      <c r="L139" t="s">
        <v>133</v>
      </c>
      <c r="M139" t="s">
        <v>1336</v>
      </c>
      <c r="N139" t="s">
        <v>68</v>
      </c>
      <c r="O139" s="7" t="s">
        <v>39</v>
      </c>
    </row>
    <row r="140" spans="1:15" x14ac:dyDescent="0.3">
      <c r="A140" t="s">
        <v>392</v>
      </c>
      <c r="B140" t="s">
        <v>393</v>
      </c>
      <c r="C140" t="s">
        <v>30</v>
      </c>
      <c r="D140" t="s">
        <v>20</v>
      </c>
      <c r="E140" t="s">
        <v>31</v>
      </c>
      <c r="F140" s="2">
        <v>2016</v>
      </c>
      <c r="G140" t="s">
        <v>1334</v>
      </c>
      <c r="H140">
        <v>86</v>
      </c>
      <c r="I140">
        <v>8.9</v>
      </c>
      <c r="J140">
        <v>139194</v>
      </c>
      <c r="K140">
        <v>628.88</v>
      </c>
      <c r="L140" t="s">
        <v>34</v>
      </c>
      <c r="M140" t="s">
        <v>1335</v>
      </c>
      <c r="N140" t="s">
        <v>68</v>
      </c>
      <c r="O140" s="6" t="s">
        <v>30</v>
      </c>
    </row>
    <row r="141" spans="1:15" x14ac:dyDescent="0.3">
      <c r="A141" t="s">
        <v>394</v>
      </c>
      <c r="B141" t="s">
        <v>395</v>
      </c>
      <c r="C141" t="s">
        <v>39</v>
      </c>
      <c r="D141" t="s">
        <v>72</v>
      </c>
      <c r="E141" t="s">
        <v>41</v>
      </c>
      <c r="F141" s="2">
        <v>2020</v>
      </c>
      <c r="G141" t="s">
        <v>1340</v>
      </c>
      <c r="H141">
        <v>105</v>
      </c>
      <c r="I141">
        <v>6.2</v>
      </c>
      <c r="J141">
        <v>370238</v>
      </c>
      <c r="K141">
        <v>1012.93</v>
      </c>
      <c r="L141" t="s">
        <v>119</v>
      </c>
      <c r="M141" t="s">
        <v>1324</v>
      </c>
      <c r="N141" t="s">
        <v>68</v>
      </c>
      <c r="O141" s="7" t="s">
        <v>144</v>
      </c>
    </row>
    <row r="142" spans="1:15" x14ac:dyDescent="0.3">
      <c r="A142" t="s">
        <v>396</v>
      </c>
      <c r="B142" t="s">
        <v>397</v>
      </c>
      <c r="C142" t="s">
        <v>39</v>
      </c>
      <c r="D142" t="s">
        <v>72</v>
      </c>
      <c r="E142" t="s">
        <v>41</v>
      </c>
      <c r="F142" s="2">
        <v>2016</v>
      </c>
      <c r="G142" t="s">
        <v>1340</v>
      </c>
      <c r="H142">
        <v>114</v>
      </c>
      <c r="I142">
        <v>6.6</v>
      </c>
      <c r="J142">
        <v>119644</v>
      </c>
      <c r="K142">
        <v>486.66</v>
      </c>
      <c r="L142" t="s">
        <v>83</v>
      </c>
      <c r="M142" t="s">
        <v>1333</v>
      </c>
      <c r="N142" t="s">
        <v>152</v>
      </c>
      <c r="O142" s="6" t="s">
        <v>39</v>
      </c>
    </row>
    <row r="143" spans="1:15" x14ac:dyDescent="0.3">
      <c r="A143" t="s">
        <v>398</v>
      </c>
      <c r="B143" t="s">
        <v>399</v>
      </c>
      <c r="C143" t="s">
        <v>130</v>
      </c>
      <c r="D143" t="s">
        <v>20</v>
      </c>
      <c r="E143" t="s">
        <v>31</v>
      </c>
      <c r="F143" s="2">
        <v>2016</v>
      </c>
      <c r="G143" t="s">
        <v>1326</v>
      </c>
      <c r="H143">
        <v>170</v>
      </c>
      <c r="I143">
        <v>7.7</v>
      </c>
      <c r="J143">
        <v>893544</v>
      </c>
      <c r="K143">
        <v>1399.43</v>
      </c>
      <c r="L143" t="s">
        <v>145</v>
      </c>
      <c r="M143" t="s">
        <v>1335</v>
      </c>
      <c r="N143" t="s">
        <v>54</v>
      </c>
      <c r="O143" s="7" t="s">
        <v>30</v>
      </c>
    </row>
    <row r="144" spans="1:15" x14ac:dyDescent="0.3">
      <c r="A144" t="s">
        <v>400</v>
      </c>
      <c r="B144" t="s">
        <v>401</v>
      </c>
      <c r="C144" t="s">
        <v>39</v>
      </c>
      <c r="D144" t="s">
        <v>20</v>
      </c>
      <c r="E144" t="s">
        <v>41</v>
      </c>
      <c r="F144" s="2">
        <v>2022</v>
      </c>
      <c r="G144" t="s">
        <v>1334</v>
      </c>
      <c r="H144">
        <v>113</v>
      </c>
      <c r="I144">
        <v>7.4</v>
      </c>
      <c r="J144">
        <v>822073</v>
      </c>
      <c r="K144">
        <v>1185.6600000000001</v>
      </c>
      <c r="L144" t="s">
        <v>89</v>
      </c>
      <c r="M144" t="s">
        <v>1317</v>
      </c>
      <c r="N144" t="s">
        <v>27</v>
      </c>
      <c r="O144" s="6" t="s">
        <v>39</v>
      </c>
    </row>
    <row r="145" spans="1:15" x14ac:dyDescent="0.3">
      <c r="A145" t="s">
        <v>402</v>
      </c>
      <c r="B145" t="s">
        <v>403</v>
      </c>
      <c r="C145" t="s">
        <v>104</v>
      </c>
      <c r="D145" t="s">
        <v>171</v>
      </c>
      <c r="E145" t="s">
        <v>49</v>
      </c>
      <c r="F145" s="2">
        <v>2025</v>
      </c>
      <c r="G145" t="s">
        <v>1334</v>
      </c>
      <c r="H145">
        <v>88</v>
      </c>
      <c r="I145">
        <v>6.3</v>
      </c>
      <c r="J145">
        <v>727957</v>
      </c>
      <c r="K145">
        <v>137.26</v>
      </c>
      <c r="L145" t="s">
        <v>66</v>
      </c>
      <c r="M145" t="s">
        <v>1336</v>
      </c>
      <c r="N145" t="s">
        <v>152</v>
      </c>
      <c r="O145" s="7" t="s">
        <v>39</v>
      </c>
    </row>
    <row r="146" spans="1:15" x14ac:dyDescent="0.3">
      <c r="A146" t="s">
        <v>404</v>
      </c>
      <c r="B146" t="s">
        <v>405</v>
      </c>
      <c r="C146" t="s">
        <v>19</v>
      </c>
      <c r="D146" t="s">
        <v>87</v>
      </c>
      <c r="E146" t="s">
        <v>49</v>
      </c>
      <c r="F146" s="2">
        <v>2018</v>
      </c>
      <c r="G146" t="s">
        <v>1334</v>
      </c>
      <c r="H146">
        <v>137</v>
      </c>
      <c r="I146">
        <v>6</v>
      </c>
      <c r="J146">
        <v>305504</v>
      </c>
      <c r="K146">
        <v>903.16</v>
      </c>
      <c r="L146" t="s">
        <v>66</v>
      </c>
      <c r="M146" t="s">
        <v>1323</v>
      </c>
      <c r="N146" t="s">
        <v>36</v>
      </c>
      <c r="O146" s="6" t="s">
        <v>130</v>
      </c>
    </row>
    <row r="147" spans="1:15" x14ac:dyDescent="0.3">
      <c r="A147" t="s">
        <v>406</v>
      </c>
      <c r="B147" t="s">
        <v>407</v>
      </c>
      <c r="C147" t="s">
        <v>116</v>
      </c>
      <c r="D147" t="s">
        <v>171</v>
      </c>
      <c r="E147" t="s">
        <v>41</v>
      </c>
      <c r="F147" s="2">
        <v>2021</v>
      </c>
      <c r="G147" t="s">
        <v>1316</v>
      </c>
      <c r="H147">
        <v>117</v>
      </c>
      <c r="I147">
        <v>6.6</v>
      </c>
      <c r="J147">
        <v>404180</v>
      </c>
      <c r="K147">
        <v>323.56</v>
      </c>
      <c r="L147" t="s">
        <v>83</v>
      </c>
      <c r="M147" t="s">
        <v>1324</v>
      </c>
      <c r="N147" t="s">
        <v>54</v>
      </c>
      <c r="O147" s="7" t="s">
        <v>39</v>
      </c>
    </row>
    <row r="148" spans="1:15" x14ac:dyDescent="0.3">
      <c r="A148" t="s">
        <v>408</v>
      </c>
      <c r="B148" t="s">
        <v>409</v>
      </c>
      <c r="C148" t="s">
        <v>39</v>
      </c>
      <c r="D148" t="s">
        <v>20</v>
      </c>
      <c r="E148" t="s">
        <v>92</v>
      </c>
      <c r="F148" s="2">
        <v>2024</v>
      </c>
      <c r="G148" t="s">
        <v>1314</v>
      </c>
      <c r="H148">
        <v>90</v>
      </c>
      <c r="I148">
        <v>7.5</v>
      </c>
      <c r="J148">
        <v>110293</v>
      </c>
      <c r="K148">
        <v>1298.7</v>
      </c>
      <c r="L148" t="s">
        <v>133</v>
      </c>
      <c r="M148" t="s">
        <v>1317</v>
      </c>
      <c r="N148" t="s">
        <v>60</v>
      </c>
      <c r="O148" s="6" t="s">
        <v>104</v>
      </c>
    </row>
    <row r="149" spans="1:15" x14ac:dyDescent="0.3">
      <c r="A149" t="s">
        <v>410</v>
      </c>
      <c r="B149" t="s">
        <v>411</v>
      </c>
      <c r="C149" t="s">
        <v>19</v>
      </c>
      <c r="D149" t="s">
        <v>171</v>
      </c>
      <c r="E149" t="s">
        <v>92</v>
      </c>
      <c r="F149" s="2">
        <v>2019</v>
      </c>
      <c r="G149" t="s">
        <v>1326</v>
      </c>
      <c r="H149">
        <v>107</v>
      </c>
      <c r="I149">
        <v>8.1999999999999993</v>
      </c>
      <c r="J149">
        <v>880903</v>
      </c>
      <c r="K149">
        <v>1218.68</v>
      </c>
      <c r="L149" t="s">
        <v>133</v>
      </c>
      <c r="M149" t="s">
        <v>1337</v>
      </c>
      <c r="N149" t="s">
        <v>152</v>
      </c>
      <c r="O149" s="7" t="s">
        <v>19</v>
      </c>
    </row>
    <row r="150" spans="1:15" x14ac:dyDescent="0.3">
      <c r="A150" t="s">
        <v>412</v>
      </c>
      <c r="B150" t="s">
        <v>413</v>
      </c>
      <c r="C150" t="s">
        <v>86</v>
      </c>
      <c r="D150" t="s">
        <v>20</v>
      </c>
      <c r="E150" t="s">
        <v>41</v>
      </c>
      <c r="F150" s="2">
        <v>2025</v>
      </c>
      <c r="G150" t="s">
        <v>1319</v>
      </c>
      <c r="H150">
        <v>128</v>
      </c>
      <c r="I150">
        <v>8.6</v>
      </c>
      <c r="J150">
        <v>191472</v>
      </c>
      <c r="K150">
        <v>390.53</v>
      </c>
      <c r="L150" t="s">
        <v>34</v>
      </c>
      <c r="M150" t="s">
        <v>1318</v>
      </c>
      <c r="N150" t="s">
        <v>123</v>
      </c>
      <c r="O150" s="6" t="s">
        <v>116</v>
      </c>
    </row>
    <row r="151" spans="1:15" x14ac:dyDescent="0.3">
      <c r="A151" t="s">
        <v>414</v>
      </c>
      <c r="B151" t="s">
        <v>415</v>
      </c>
      <c r="C151" t="s">
        <v>63</v>
      </c>
      <c r="D151" t="s">
        <v>20</v>
      </c>
      <c r="E151" t="s">
        <v>31</v>
      </c>
      <c r="F151" s="2">
        <v>2015</v>
      </c>
      <c r="G151" t="s">
        <v>1325</v>
      </c>
      <c r="H151">
        <v>188</v>
      </c>
      <c r="I151">
        <v>8.8000000000000007</v>
      </c>
      <c r="J151">
        <v>450979</v>
      </c>
      <c r="K151">
        <v>85.28</v>
      </c>
      <c r="L151" t="s">
        <v>89</v>
      </c>
      <c r="M151" t="s">
        <v>1321</v>
      </c>
      <c r="N151" t="s">
        <v>54</v>
      </c>
      <c r="O151" s="7" t="s">
        <v>39</v>
      </c>
    </row>
    <row r="152" spans="1:15" x14ac:dyDescent="0.3">
      <c r="A152" t="s">
        <v>416</v>
      </c>
      <c r="B152" t="s">
        <v>417</v>
      </c>
      <c r="C152" t="s">
        <v>39</v>
      </c>
      <c r="D152" t="s">
        <v>20</v>
      </c>
      <c r="E152" t="s">
        <v>41</v>
      </c>
      <c r="F152" s="2">
        <v>2016</v>
      </c>
      <c r="G152" t="s">
        <v>1316</v>
      </c>
      <c r="H152">
        <v>85</v>
      </c>
      <c r="I152">
        <v>8</v>
      </c>
      <c r="J152">
        <v>440838</v>
      </c>
      <c r="K152">
        <v>1630.1</v>
      </c>
      <c r="L152" t="s">
        <v>66</v>
      </c>
      <c r="M152" t="s">
        <v>1341</v>
      </c>
      <c r="N152" t="s">
        <v>60</v>
      </c>
      <c r="O152" s="6" t="s">
        <v>19</v>
      </c>
    </row>
    <row r="153" spans="1:15" x14ac:dyDescent="0.3">
      <c r="A153" t="s">
        <v>418</v>
      </c>
      <c r="B153" t="s">
        <v>419</v>
      </c>
      <c r="C153" t="s">
        <v>30</v>
      </c>
      <c r="D153" t="s">
        <v>215</v>
      </c>
      <c r="E153" t="s">
        <v>41</v>
      </c>
      <c r="F153" s="2">
        <v>2022</v>
      </c>
      <c r="G153" t="s">
        <v>1322</v>
      </c>
      <c r="H153">
        <v>189</v>
      </c>
      <c r="I153">
        <v>7.3</v>
      </c>
      <c r="J153">
        <v>164368</v>
      </c>
      <c r="K153">
        <v>1237.05</v>
      </c>
      <c r="L153" t="s">
        <v>24</v>
      </c>
      <c r="M153" t="s">
        <v>1320</v>
      </c>
      <c r="N153" t="s">
        <v>60</v>
      </c>
      <c r="O153" s="7" t="s">
        <v>86</v>
      </c>
    </row>
    <row r="154" spans="1:15" x14ac:dyDescent="0.3">
      <c r="A154" t="s">
        <v>420</v>
      </c>
      <c r="B154" t="s">
        <v>421</v>
      </c>
      <c r="C154" t="s">
        <v>39</v>
      </c>
      <c r="D154" t="s">
        <v>81</v>
      </c>
      <c r="E154" t="s">
        <v>82</v>
      </c>
      <c r="F154" s="2">
        <v>2015</v>
      </c>
      <c r="G154" t="s">
        <v>1327</v>
      </c>
      <c r="H154">
        <v>130</v>
      </c>
      <c r="I154">
        <v>7.2</v>
      </c>
      <c r="J154">
        <v>581941</v>
      </c>
      <c r="K154">
        <v>120.56</v>
      </c>
      <c r="L154" t="s">
        <v>119</v>
      </c>
      <c r="M154" t="s">
        <v>1341</v>
      </c>
      <c r="N154" t="s">
        <v>54</v>
      </c>
      <c r="O154" s="6" t="s">
        <v>63</v>
      </c>
    </row>
    <row r="155" spans="1:15" x14ac:dyDescent="0.3">
      <c r="A155" t="s">
        <v>422</v>
      </c>
      <c r="B155" t="s">
        <v>423</v>
      </c>
      <c r="C155" t="s">
        <v>86</v>
      </c>
      <c r="D155" t="s">
        <v>20</v>
      </c>
      <c r="E155" t="s">
        <v>21</v>
      </c>
      <c r="F155" s="2">
        <v>2025</v>
      </c>
      <c r="G155" t="s">
        <v>1327</v>
      </c>
      <c r="H155">
        <v>175</v>
      </c>
      <c r="I155">
        <v>6.1</v>
      </c>
      <c r="J155">
        <v>100607</v>
      </c>
      <c r="K155">
        <v>9.07</v>
      </c>
      <c r="L155" t="s">
        <v>83</v>
      </c>
      <c r="M155" t="s">
        <v>1337</v>
      </c>
      <c r="N155" t="s">
        <v>123</v>
      </c>
      <c r="O155" s="7" t="s">
        <v>39</v>
      </c>
    </row>
    <row r="156" spans="1:15" x14ac:dyDescent="0.3">
      <c r="A156" t="s">
        <v>424</v>
      </c>
      <c r="B156" t="s">
        <v>425</v>
      </c>
      <c r="C156" t="s">
        <v>19</v>
      </c>
      <c r="D156" t="s">
        <v>87</v>
      </c>
      <c r="E156" t="s">
        <v>41</v>
      </c>
      <c r="F156" s="2">
        <v>2021</v>
      </c>
      <c r="G156" t="s">
        <v>1331</v>
      </c>
      <c r="H156">
        <v>146</v>
      </c>
      <c r="I156">
        <v>7.7</v>
      </c>
      <c r="J156">
        <v>533825</v>
      </c>
      <c r="K156">
        <v>1350.05</v>
      </c>
      <c r="L156" t="s">
        <v>24</v>
      </c>
      <c r="M156" t="s">
        <v>1330</v>
      </c>
      <c r="N156" t="s">
        <v>27</v>
      </c>
      <c r="O156" s="6" t="s">
        <v>30</v>
      </c>
    </row>
    <row r="157" spans="1:15" x14ac:dyDescent="0.3">
      <c r="A157" t="s">
        <v>426</v>
      </c>
      <c r="B157" t="s">
        <v>427</v>
      </c>
      <c r="C157" t="s">
        <v>144</v>
      </c>
      <c r="D157" t="s">
        <v>20</v>
      </c>
      <c r="E157" t="s">
        <v>88</v>
      </c>
      <c r="F157" s="2">
        <v>2019</v>
      </c>
      <c r="G157" t="s">
        <v>1316</v>
      </c>
      <c r="H157">
        <v>119</v>
      </c>
      <c r="I157">
        <v>7.6</v>
      </c>
      <c r="J157">
        <v>635592</v>
      </c>
      <c r="K157">
        <v>423.67</v>
      </c>
      <c r="L157" t="s">
        <v>52</v>
      </c>
      <c r="M157" t="s">
        <v>1324</v>
      </c>
      <c r="N157" t="s">
        <v>60</v>
      </c>
      <c r="O157" s="7" t="s">
        <v>39</v>
      </c>
    </row>
    <row r="158" spans="1:15" x14ac:dyDescent="0.3">
      <c r="A158" t="s">
        <v>428</v>
      </c>
      <c r="B158" t="s">
        <v>429</v>
      </c>
      <c r="C158" t="s">
        <v>39</v>
      </c>
      <c r="D158" t="s">
        <v>72</v>
      </c>
      <c r="E158" t="s">
        <v>41</v>
      </c>
      <c r="F158" s="2">
        <v>2025</v>
      </c>
      <c r="G158" t="s">
        <v>1314</v>
      </c>
      <c r="H158">
        <v>103</v>
      </c>
      <c r="I158">
        <v>7.1</v>
      </c>
      <c r="J158">
        <v>589437</v>
      </c>
      <c r="K158">
        <v>787.56</v>
      </c>
      <c r="L158" t="s">
        <v>66</v>
      </c>
      <c r="M158" t="s">
        <v>1341</v>
      </c>
      <c r="N158" t="s">
        <v>36</v>
      </c>
      <c r="O158" s="6" t="s">
        <v>86</v>
      </c>
    </row>
    <row r="159" spans="1:15" x14ac:dyDescent="0.3">
      <c r="A159" t="s">
        <v>430</v>
      </c>
      <c r="B159" t="s">
        <v>431</v>
      </c>
      <c r="C159" t="s">
        <v>30</v>
      </c>
      <c r="D159" t="s">
        <v>87</v>
      </c>
      <c r="E159" t="s">
        <v>31</v>
      </c>
      <c r="F159" s="2">
        <v>2017</v>
      </c>
      <c r="G159" t="s">
        <v>1326</v>
      </c>
      <c r="H159">
        <v>137</v>
      </c>
      <c r="I159">
        <v>8.6999999999999993</v>
      </c>
      <c r="J159">
        <v>26790</v>
      </c>
      <c r="K159">
        <v>325.08</v>
      </c>
      <c r="L159" t="s">
        <v>52</v>
      </c>
      <c r="M159" t="s">
        <v>1337</v>
      </c>
      <c r="N159" t="s">
        <v>36</v>
      </c>
      <c r="O159" s="7" t="s">
        <v>19</v>
      </c>
    </row>
    <row r="160" spans="1:15" x14ac:dyDescent="0.3">
      <c r="A160" t="s">
        <v>432</v>
      </c>
      <c r="B160" t="s">
        <v>433</v>
      </c>
      <c r="C160" t="s">
        <v>86</v>
      </c>
      <c r="D160" t="s">
        <v>20</v>
      </c>
      <c r="E160" t="s">
        <v>82</v>
      </c>
      <c r="F160" s="2">
        <v>2024</v>
      </c>
      <c r="G160" t="s">
        <v>1331</v>
      </c>
      <c r="H160">
        <v>149</v>
      </c>
      <c r="I160">
        <v>6.5</v>
      </c>
      <c r="J160">
        <v>831081</v>
      </c>
      <c r="K160">
        <v>199.12</v>
      </c>
      <c r="L160" t="s">
        <v>34</v>
      </c>
      <c r="M160" t="s">
        <v>1323</v>
      </c>
      <c r="N160" t="s">
        <v>36</v>
      </c>
      <c r="O160" s="6" t="s">
        <v>144</v>
      </c>
    </row>
    <row r="161" spans="1:15" x14ac:dyDescent="0.3">
      <c r="A161" t="s">
        <v>434</v>
      </c>
      <c r="B161" t="s">
        <v>435</v>
      </c>
      <c r="C161" t="s">
        <v>130</v>
      </c>
      <c r="D161" t="s">
        <v>20</v>
      </c>
      <c r="E161" t="s">
        <v>41</v>
      </c>
      <c r="F161" s="2">
        <v>2016</v>
      </c>
      <c r="G161" t="s">
        <v>1319</v>
      </c>
      <c r="H161">
        <v>132</v>
      </c>
      <c r="I161">
        <v>7.4</v>
      </c>
      <c r="J161">
        <v>384166</v>
      </c>
      <c r="K161">
        <v>403.76</v>
      </c>
      <c r="L161" t="s">
        <v>101</v>
      </c>
      <c r="M161" t="s">
        <v>1320</v>
      </c>
      <c r="N161" t="s">
        <v>152</v>
      </c>
      <c r="O161" s="7" t="s">
        <v>39</v>
      </c>
    </row>
    <row r="162" spans="1:15" x14ac:dyDescent="0.3">
      <c r="A162" t="s">
        <v>436</v>
      </c>
      <c r="B162" t="s">
        <v>437</v>
      </c>
      <c r="C162" t="s">
        <v>30</v>
      </c>
      <c r="D162" t="s">
        <v>87</v>
      </c>
      <c r="E162" t="s">
        <v>41</v>
      </c>
      <c r="F162" s="2">
        <v>2019</v>
      </c>
      <c r="G162" t="s">
        <v>1325</v>
      </c>
      <c r="H162">
        <v>164</v>
      </c>
      <c r="I162">
        <v>6.8</v>
      </c>
      <c r="J162">
        <v>893940</v>
      </c>
      <c r="K162">
        <v>443.96</v>
      </c>
      <c r="L162" t="s">
        <v>34</v>
      </c>
      <c r="M162" t="s">
        <v>1323</v>
      </c>
      <c r="N162" t="s">
        <v>152</v>
      </c>
      <c r="O162" s="6" t="s">
        <v>30</v>
      </c>
    </row>
    <row r="163" spans="1:15" x14ac:dyDescent="0.3">
      <c r="A163" t="s">
        <v>438</v>
      </c>
      <c r="B163" t="s">
        <v>439</v>
      </c>
      <c r="C163" t="s">
        <v>116</v>
      </c>
      <c r="D163" t="s">
        <v>64</v>
      </c>
      <c r="E163" t="s">
        <v>82</v>
      </c>
      <c r="F163" s="2">
        <v>2018</v>
      </c>
      <c r="G163" t="s">
        <v>1326</v>
      </c>
      <c r="H163">
        <v>95</v>
      </c>
      <c r="I163">
        <v>8</v>
      </c>
      <c r="J163">
        <v>446240</v>
      </c>
      <c r="K163">
        <v>1049.1099999999999</v>
      </c>
      <c r="L163" t="s">
        <v>73</v>
      </c>
      <c r="M163" t="s">
        <v>1323</v>
      </c>
      <c r="N163" t="s">
        <v>152</v>
      </c>
      <c r="O163" s="7" t="s">
        <v>86</v>
      </c>
    </row>
    <row r="164" spans="1:15" x14ac:dyDescent="0.3">
      <c r="A164" t="s">
        <v>440</v>
      </c>
      <c r="B164" t="s">
        <v>441</v>
      </c>
      <c r="C164" t="s">
        <v>19</v>
      </c>
      <c r="D164" t="s">
        <v>20</v>
      </c>
      <c r="E164" t="s">
        <v>41</v>
      </c>
      <c r="F164" s="2">
        <v>2025</v>
      </c>
      <c r="G164" t="s">
        <v>1332</v>
      </c>
      <c r="H164">
        <v>131</v>
      </c>
      <c r="I164">
        <v>8.1</v>
      </c>
      <c r="J164">
        <v>453048</v>
      </c>
      <c r="K164">
        <v>101.6</v>
      </c>
      <c r="L164" t="s">
        <v>83</v>
      </c>
      <c r="M164" t="s">
        <v>1336</v>
      </c>
      <c r="N164" t="s">
        <v>123</v>
      </c>
      <c r="O164" s="6" t="s">
        <v>130</v>
      </c>
    </row>
    <row r="165" spans="1:15" x14ac:dyDescent="0.3">
      <c r="A165" t="s">
        <v>442</v>
      </c>
      <c r="B165" t="s">
        <v>443</v>
      </c>
      <c r="C165" t="s">
        <v>39</v>
      </c>
      <c r="D165" t="s">
        <v>72</v>
      </c>
      <c r="E165" t="s">
        <v>41</v>
      </c>
      <c r="F165" s="2">
        <v>2020</v>
      </c>
      <c r="G165" t="s">
        <v>1332</v>
      </c>
      <c r="H165">
        <v>172</v>
      </c>
      <c r="I165">
        <v>6.8</v>
      </c>
      <c r="J165">
        <v>513062</v>
      </c>
      <c r="K165">
        <v>442.55</v>
      </c>
      <c r="L165" t="s">
        <v>43</v>
      </c>
      <c r="M165" t="s">
        <v>1315</v>
      </c>
      <c r="N165" t="s">
        <v>152</v>
      </c>
      <c r="O165" s="7" t="s">
        <v>30</v>
      </c>
    </row>
    <row r="166" spans="1:15" x14ac:dyDescent="0.3">
      <c r="A166" t="s">
        <v>444</v>
      </c>
      <c r="B166" t="s">
        <v>445</v>
      </c>
      <c r="C166" t="s">
        <v>130</v>
      </c>
      <c r="D166" t="s">
        <v>20</v>
      </c>
      <c r="E166" t="s">
        <v>41</v>
      </c>
      <c r="F166" s="2">
        <v>2024</v>
      </c>
      <c r="G166" t="s">
        <v>1331</v>
      </c>
      <c r="H166">
        <v>172</v>
      </c>
      <c r="I166">
        <v>7.6</v>
      </c>
      <c r="J166">
        <v>728156</v>
      </c>
      <c r="K166">
        <v>350.81</v>
      </c>
      <c r="L166" t="s">
        <v>24</v>
      </c>
      <c r="M166" t="s">
        <v>1337</v>
      </c>
      <c r="N166" t="s">
        <v>123</v>
      </c>
      <c r="O166" s="6" t="s">
        <v>116</v>
      </c>
    </row>
    <row r="167" spans="1:15" x14ac:dyDescent="0.3">
      <c r="A167" t="s">
        <v>446</v>
      </c>
      <c r="B167" t="s">
        <v>447</v>
      </c>
      <c r="C167" t="s">
        <v>39</v>
      </c>
      <c r="D167" t="s">
        <v>40</v>
      </c>
      <c r="E167" t="s">
        <v>41</v>
      </c>
      <c r="F167" s="2">
        <v>2018</v>
      </c>
      <c r="G167" t="s">
        <v>1340</v>
      </c>
      <c r="H167">
        <v>145</v>
      </c>
      <c r="I167">
        <v>7</v>
      </c>
      <c r="J167">
        <v>729331</v>
      </c>
      <c r="K167">
        <v>682.45</v>
      </c>
      <c r="L167" t="s">
        <v>119</v>
      </c>
      <c r="M167" t="s">
        <v>1336</v>
      </c>
      <c r="N167" t="s">
        <v>54</v>
      </c>
      <c r="O167" s="7" t="s">
        <v>19</v>
      </c>
    </row>
    <row r="168" spans="1:15" x14ac:dyDescent="0.3">
      <c r="A168" t="s">
        <v>448</v>
      </c>
      <c r="B168" t="s">
        <v>449</v>
      </c>
      <c r="C168" t="s">
        <v>19</v>
      </c>
      <c r="D168" t="s">
        <v>57</v>
      </c>
      <c r="E168" t="s">
        <v>41</v>
      </c>
      <c r="F168" s="2">
        <v>2020</v>
      </c>
      <c r="G168" t="s">
        <v>1319</v>
      </c>
      <c r="H168">
        <v>158</v>
      </c>
      <c r="I168">
        <v>7.4</v>
      </c>
      <c r="J168">
        <v>4683</v>
      </c>
      <c r="K168">
        <v>921.31</v>
      </c>
      <c r="L168" t="s">
        <v>89</v>
      </c>
      <c r="M168" t="s">
        <v>1315</v>
      </c>
      <c r="N168" t="s">
        <v>68</v>
      </c>
      <c r="O168" s="6" t="s">
        <v>39</v>
      </c>
    </row>
    <row r="169" spans="1:15" x14ac:dyDescent="0.3">
      <c r="A169" t="s">
        <v>450</v>
      </c>
      <c r="B169" t="s">
        <v>451</v>
      </c>
      <c r="C169" t="s">
        <v>116</v>
      </c>
      <c r="D169" t="s">
        <v>87</v>
      </c>
      <c r="E169" t="s">
        <v>88</v>
      </c>
      <c r="F169" s="2">
        <v>2019</v>
      </c>
      <c r="G169" t="s">
        <v>1326</v>
      </c>
      <c r="H169">
        <v>159</v>
      </c>
      <c r="I169">
        <v>5.9</v>
      </c>
      <c r="J169">
        <v>96474</v>
      </c>
      <c r="K169">
        <v>419.22</v>
      </c>
      <c r="L169" t="s">
        <v>145</v>
      </c>
      <c r="M169" t="s">
        <v>1342</v>
      </c>
      <c r="N169" t="s">
        <v>54</v>
      </c>
      <c r="O169" s="7" t="s">
        <v>130</v>
      </c>
    </row>
    <row r="170" spans="1:15" x14ac:dyDescent="0.3">
      <c r="A170" t="s">
        <v>452</v>
      </c>
      <c r="B170" t="s">
        <v>453</v>
      </c>
      <c r="C170" t="s">
        <v>104</v>
      </c>
      <c r="D170" t="s">
        <v>81</v>
      </c>
      <c r="E170" t="s">
        <v>88</v>
      </c>
      <c r="F170" s="2">
        <v>2015</v>
      </c>
      <c r="G170" t="s">
        <v>1329</v>
      </c>
      <c r="H170">
        <v>145</v>
      </c>
      <c r="I170">
        <v>7.1</v>
      </c>
      <c r="J170">
        <v>740608</v>
      </c>
      <c r="K170">
        <v>582.57000000000005</v>
      </c>
      <c r="L170" t="s">
        <v>73</v>
      </c>
      <c r="M170" t="s">
        <v>1318</v>
      </c>
      <c r="N170" t="s">
        <v>68</v>
      </c>
      <c r="O170" s="6" t="s">
        <v>39</v>
      </c>
    </row>
    <row r="171" spans="1:15" x14ac:dyDescent="0.3">
      <c r="A171" t="s">
        <v>454</v>
      </c>
      <c r="B171" t="s">
        <v>455</v>
      </c>
      <c r="C171" t="s">
        <v>86</v>
      </c>
      <c r="D171" t="s">
        <v>20</v>
      </c>
      <c r="E171" t="s">
        <v>41</v>
      </c>
      <c r="F171" s="2">
        <v>2025</v>
      </c>
      <c r="G171" t="s">
        <v>1332</v>
      </c>
      <c r="H171">
        <v>117</v>
      </c>
      <c r="I171">
        <v>5.4</v>
      </c>
      <c r="J171">
        <v>580377</v>
      </c>
      <c r="K171">
        <v>494.89</v>
      </c>
      <c r="L171" t="s">
        <v>66</v>
      </c>
      <c r="M171" t="s">
        <v>1342</v>
      </c>
      <c r="N171" t="s">
        <v>68</v>
      </c>
      <c r="O171" s="7" t="s">
        <v>19</v>
      </c>
    </row>
    <row r="172" spans="1:15" x14ac:dyDescent="0.3">
      <c r="A172" t="s">
        <v>456</v>
      </c>
      <c r="B172" t="s">
        <v>457</v>
      </c>
      <c r="C172" t="s">
        <v>86</v>
      </c>
      <c r="D172" t="s">
        <v>87</v>
      </c>
      <c r="E172" t="s">
        <v>21</v>
      </c>
      <c r="F172" s="2">
        <v>2020</v>
      </c>
      <c r="G172" t="s">
        <v>1329</v>
      </c>
      <c r="H172">
        <v>122</v>
      </c>
      <c r="I172">
        <v>6.3</v>
      </c>
      <c r="J172">
        <v>176445</v>
      </c>
      <c r="K172">
        <v>75.14</v>
      </c>
      <c r="L172" t="s">
        <v>24</v>
      </c>
      <c r="M172" t="s">
        <v>1318</v>
      </c>
      <c r="N172" t="s">
        <v>123</v>
      </c>
      <c r="O172" s="6" t="s">
        <v>116</v>
      </c>
    </row>
    <row r="173" spans="1:15" x14ac:dyDescent="0.3">
      <c r="A173" t="s">
        <v>458</v>
      </c>
      <c r="B173" t="s">
        <v>459</v>
      </c>
      <c r="C173" t="s">
        <v>39</v>
      </c>
      <c r="D173" t="s">
        <v>20</v>
      </c>
      <c r="E173" t="s">
        <v>139</v>
      </c>
      <c r="F173" s="2">
        <v>2024</v>
      </c>
      <c r="G173" t="s">
        <v>1314</v>
      </c>
      <c r="H173">
        <v>151</v>
      </c>
      <c r="I173">
        <v>7.1</v>
      </c>
      <c r="J173">
        <v>765405</v>
      </c>
      <c r="K173">
        <v>650.64</v>
      </c>
      <c r="L173" t="s">
        <v>66</v>
      </c>
      <c r="M173" t="s">
        <v>1337</v>
      </c>
      <c r="N173" t="s">
        <v>36</v>
      </c>
      <c r="O173" s="7" t="s">
        <v>104</v>
      </c>
    </row>
    <row r="174" spans="1:15" x14ac:dyDescent="0.3">
      <c r="A174" t="s">
        <v>460</v>
      </c>
      <c r="B174" t="s">
        <v>461</v>
      </c>
      <c r="C174" t="s">
        <v>39</v>
      </c>
      <c r="D174" t="s">
        <v>20</v>
      </c>
      <c r="E174" t="s">
        <v>31</v>
      </c>
      <c r="F174" s="2">
        <v>2021</v>
      </c>
      <c r="G174" t="s">
        <v>1314</v>
      </c>
      <c r="H174">
        <v>151</v>
      </c>
      <c r="I174">
        <v>7</v>
      </c>
      <c r="J174">
        <v>151131</v>
      </c>
      <c r="K174">
        <v>545.17999999999995</v>
      </c>
      <c r="L174" t="s">
        <v>24</v>
      </c>
      <c r="M174" t="s">
        <v>1333</v>
      </c>
      <c r="N174" t="s">
        <v>54</v>
      </c>
      <c r="O174" s="6" t="s">
        <v>86</v>
      </c>
    </row>
    <row r="175" spans="1:15" x14ac:dyDescent="0.3">
      <c r="A175" t="s">
        <v>462</v>
      </c>
      <c r="B175" t="s">
        <v>463</v>
      </c>
      <c r="C175" t="s">
        <v>30</v>
      </c>
      <c r="D175" t="s">
        <v>87</v>
      </c>
      <c r="E175" t="s">
        <v>88</v>
      </c>
      <c r="F175" s="2">
        <v>2025</v>
      </c>
      <c r="G175" t="s">
        <v>1334</v>
      </c>
      <c r="H175">
        <v>102</v>
      </c>
      <c r="I175">
        <v>6.8</v>
      </c>
      <c r="J175">
        <v>187943</v>
      </c>
      <c r="K175">
        <v>852.3</v>
      </c>
      <c r="L175" t="s">
        <v>24</v>
      </c>
      <c r="M175" t="s">
        <v>1337</v>
      </c>
      <c r="N175" t="s">
        <v>68</v>
      </c>
      <c r="O175" s="7" t="s">
        <v>86</v>
      </c>
    </row>
    <row r="176" spans="1:15" x14ac:dyDescent="0.3">
      <c r="A176" t="s">
        <v>464</v>
      </c>
      <c r="B176" t="s">
        <v>465</v>
      </c>
      <c r="C176" t="s">
        <v>39</v>
      </c>
      <c r="D176" t="s">
        <v>87</v>
      </c>
      <c r="E176" t="s">
        <v>31</v>
      </c>
      <c r="F176" s="2">
        <v>2022</v>
      </c>
      <c r="G176" t="s">
        <v>1325</v>
      </c>
      <c r="H176">
        <v>104</v>
      </c>
      <c r="I176">
        <v>7.2</v>
      </c>
      <c r="J176">
        <v>145931</v>
      </c>
      <c r="K176">
        <v>457.82</v>
      </c>
      <c r="L176" t="s">
        <v>179</v>
      </c>
      <c r="M176" t="s">
        <v>1318</v>
      </c>
      <c r="N176" t="s">
        <v>152</v>
      </c>
      <c r="O176" s="6" t="s">
        <v>39</v>
      </c>
    </row>
    <row r="177" spans="1:15" x14ac:dyDescent="0.3">
      <c r="A177" t="s">
        <v>466</v>
      </c>
      <c r="B177" t="s">
        <v>467</v>
      </c>
      <c r="C177" t="s">
        <v>48</v>
      </c>
      <c r="D177" t="s">
        <v>20</v>
      </c>
      <c r="E177" t="s">
        <v>31</v>
      </c>
      <c r="F177" s="2">
        <v>2018</v>
      </c>
      <c r="G177" t="s">
        <v>1314</v>
      </c>
      <c r="H177">
        <v>126</v>
      </c>
      <c r="I177">
        <v>6.4</v>
      </c>
      <c r="J177">
        <v>292573</v>
      </c>
      <c r="K177">
        <v>1201.48</v>
      </c>
      <c r="L177" t="s">
        <v>119</v>
      </c>
      <c r="M177" t="s">
        <v>1338</v>
      </c>
      <c r="N177" t="s">
        <v>152</v>
      </c>
      <c r="O177" s="7" t="s">
        <v>39</v>
      </c>
    </row>
    <row r="178" spans="1:15" x14ac:dyDescent="0.3">
      <c r="A178" t="s">
        <v>468</v>
      </c>
      <c r="B178" t="s">
        <v>469</v>
      </c>
      <c r="C178" t="s">
        <v>86</v>
      </c>
      <c r="D178" t="s">
        <v>87</v>
      </c>
      <c r="E178" t="s">
        <v>82</v>
      </c>
      <c r="F178" s="2">
        <v>2020</v>
      </c>
      <c r="G178" t="s">
        <v>1334</v>
      </c>
      <c r="H178">
        <v>119</v>
      </c>
      <c r="I178">
        <v>8.1999999999999993</v>
      </c>
      <c r="J178">
        <v>840864</v>
      </c>
      <c r="K178">
        <v>81.96</v>
      </c>
      <c r="L178" t="s">
        <v>83</v>
      </c>
      <c r="M178" t="s">
        <v>1333</v>
      </c>
      <c r="N178" t="s">
        <v>54</v>
      </c>
      <c r="O178" s="6" t="s">
        <v>30</v>
      </c>
    </row>
    <row r="179" spans="1:15" x14ac:dyDescent="0.3">
      <c r="A179" t="s">
        <v>470</v>
      </c>
      <c r="B179" t="s">
        <v>471</v>
      </c>
      <c r="C179" t="s">
        <v>19</v>
      </c>
      <c r="D179" t="s">
        <v>87</v>
      </c>
      <c r="E179" t="s">
        <v>41</v>
      </c>
      <c r="F179" s="2">
        <v>2025</v>
      </c>
      <c r="G179" t="s">
        <v>1332</v>
      </c>
      <c r="H179">
        <v>93</v>
      </c>
      <c r="I179">
        <v>7.2</v>
      </c>
      <c r="J179">
        <v>531099</v>
      </c>
      <c r="K179">
        <v>138.69</v>
      </c>
      <c r="L179" t="s">
        <v>145</v>
      </c>
      <c r="M179" t="s">
        <v>1323</v>
      </c>
      <c r="N179" t="s">
        <v>152</v>
      </c>
      <c r="O179" s="7" t="s">
        <v>39</v>
      </c>
    </row>
    <row r="180" spans="1:15" x14ac:dyDescent="0.3">
      <c r="A180" t="s">
        <v>472</v>
      </c>
      <c r="B180" t="s">
        <v>473</v>
      </c>
      <c r="C180" t="s">
        <v>39</v>
      </c>
      <c r="D180" t="s">
        <v>64</v>
      </c>
      <c r="E180" t="s">
        <v>82</v>
      </c>
      <c r="F180" s="2">
        <v>2017</v>
      </c>
      <c r="G180" t="s">
        <v>1325</v>
      </c>
      <c r="H180">
        <v>149</v>
      </c>
      <c r="I180">
        <v>7.1</v>
      </c>
      <c r="J180">
        <v>707157</v>
      </c>
      <c r="K180">
        <v>629.59</v>
      </c>
      <c r="L180" t="s">
        <v>52</v>
      </c>
      <c r="M180" t="s">
        <v>1328</v>
      </c>
      <c r="N180" t="s">
        <v>36</v>
      </c>
      <c r="O180" s="6" t="s">
        <v>48</v>
      </c>
    </row>
    <row r="181" spans="1:15" x14ac:dyDescent="0.3">
      <c r="A181" t="s">
        <v>474</v>
      </c>
      <c r="B181" t="s">
        <v>475</v>
      </c>
      <c r="C181" t="s">
        <v>71</v>
      </c>
      <c r="D181" t="s">
        <v>87</v>
      </c>
      <c r="E181" t="s">
        <v>41</v>
      </c>
      <c r="F181" s="2">
        <v>2015</v>
      </c>
      <c r="G181" t="s">
        <v>1326</v>
      </c>
      <c r="H181">
        <v>141</v>
      </c>
      <c r="I181">
        <v>6.7</v>
      </c>
      <c r="J181">
        <v>436610</v>
      </c>
      <c r="K181">
        <v>264.56</v>
      </c>
      <c r="L181" t="s">
        <v>34</v>
      </c>
      <c r="M181" t="s">
        <v>1336</v>
      </c>
      <c r="N181" t="s">
        <v>27</v>
      </c>
      <c r="O181" s="7" t="s">
        <v>86</v>
      </c>
    </row>
    <row r="182" spans="1:15" x14ac:dyDescent="0.3">
      <c r="A182" t="s">
        <v>476</v>
      </c>
      <c r="B182" t="s">
        <v>477</v>
      </c>
      <c r="C182" t="s">
        <v>19</v>
      </c>
      <c r="D182" t="s">
        <v>87</v>
      </c>
      <c r="E182" t="s">
        <v>88</v>
      </c>
      <c r="F182" s="2">
        <v>2021</v>
      </c>
      <c r="G182" t="s">
        <v>1319</v>
      </c>
      <c r="H182">
        <v>139</v>
      </c>
      <c r="I182">
        <v>7.1</v>
      </c>
      <c r="J182">
        <v>40357</v>
      </c>
      <c r="K182">
        <v>765.35</v>
      </c>
      <c r="L182" t="s">
        <v>66</v>
      </c>
      <c r="M182" t="s">
        <v>1336</v>
      </c>
      <c r="N182" t="s">
        <v>36</v>
      </c>
      <c r="O182" s="6" t="s">
        <v>19</v>
      </c>
    </row>
    <row r="183" spans="1:15" x14ac:dyDescent="0.3">
      <c r="A183" t="s">
        <v>480</v>
      </c>
      <c r="B183" t="s">
        <v>481</v>
      </c>
      <c r="C183" t="s">
        <v>63</v>
      </c>
      <c r="D183" t="s">
        <v>20</v>
      </c>
      <c r="E183" t="s">
        <v>31</v>
      </c>
      <c r="F183" s="2">
        <v>2024</v>
      </c>
      <c r="G183" t="s">
        <v>1334</v>
      </c>
      <c r="H183">
        <v>184</v>
      </c>
      <c r="I183">
        <v>8.4</v>
      </c>
      <c r="J183">
        <v>507783</v>
      </c>
      <c r="K183">
        <v>742.73</v>
      </c>
      <c r="L183" t="s">
        <v>34</v>
      </c>
      <c r="M183" t="s">
        <v>1337</v>
      </c>
      <c r="N183" t="s">
        <v>54</v>
      </c>
      <c r="O183" s="7" t="s">
        <v>39</v>
      </c>
    </row>
    <row r="184" spans="1:15" x14ac:dyDescent="0.3">
      <c r="A184" t="s">
        <v>482</v>
      </c>
      <c r="B184" t="s">
        <v>483</v>
      </c>
      <c r="C184" t="s">
        <v>130</v>
      </c>
      <c r="D184" t="s">
        <v>215</v>
      </c>
      <c r="E184" t="s">
        <v>41</v>
      </c>
      <c r="F184" s="2">
        <v>2021</v>
      </c>
      <c r="G184" t="s">
        <v>1319</v>
      </c>
      <c r="H184">
        <v>167</v>
      </c>
      <c r="I184">
        <v>7.6</v>
      </c>
      <c r="J184">
        <v>286759</v>
      </c>
      <c r="K184">
        <v>90.7</v>
      </c>
      <c r="L184" t="s">
        <v>145</v>
      </c>
      <c r="M184" t="s">
        <v>1335</v>
      </c>
      <c r="N184" t="s">
        <v>123</v>
      </c>
      <c r="O184" s="6" t="s">
        <v>71</v>
      </c>
    </row>
    <row r="185" spans="1:15" x14ac:dyDescent="0.3">
      <c r="A185" t="s">
        <v>485</v>
      </c>
      <c r="B185" t="s">
        <v>486</v>
      </c>
      <c r="C185" t="s">
        <v>130</v>
      </c>
      <c r="D185" t="s">
        <v>87</v>
      </c>
      <c r="E185" t="s">
        <v>49</v>
      </c>
      <c r="F185" s="2">
        <v>2020</v>
      </c>
      <c r="G185" t="s">
        <v>1316</v>
      </c>
      <c r="H185">
        <v>99</v>
      </c>
      <c r="I185">
        <v>7</v>
      </c>
      <c r="J185">
        <v>146995</v>
      </c>
      <c r="K185">
        <v>269.36</v>
      </c>
      <c r="L185" t="s">
        <v>109</v>
      </c>
      <c r="M185" t="s">
        <v>1337</v>
      </c>
      <c r="N185" t="s">
        <v>54</v>
      </c>
      <c r="O185" s="7" t="s">
        <v>19</v>
      </c>
    </row>
    <row r="186" spans="1:15" x14ac:dyDescent="0.3">
      <c r="A186" t="s">
        <v>487</v>
      </c>
      <c r="B186" t="s">
        <v>488</v>
      </c>
      <c r="C186" t="s">
        <v>19</v>
      </c>
      <c r="D186" t="s">
        <v>20</v>
      </c>
      <c r="E186" t="s">
        <v>49</v>
      </c>
      <c r="F186" s="2">
        <v>2015</v>
      </c>
      <c r="G186" t="s">
        <v>1334</v>
      </c>
      <c r="H186">
        <v>104</v>
      </c>
      <c r="I186">
        <v>7.1</v>
      </c>
      <c r="J186">
        <v>124261</v>
      </c>
      <c r="K186">
        <v>700.24</v>
      </c>
      <c r="L186" t="s">
        <v>140</v>
      </c>
      <c r="M186" t="s">
        <v>1323</v>
      </c>
      <c r="N186" t="s">
        <v>68</v>
      </c>
      <c r="O186" s="6" t="s">
        <v>19</v>
      </c>
    </row>
    <row r="187" spans="1:15" x14ac:dyDescent="0.3">
      <c r="A187" t="s">
        <v>489</v>
      </c>
      <c r="B187" t="s">
        <v>490</v>
      </c>
      <c r="C187" t="s">
        <v>19</v>
      </c>
      <c r="D187" t="s">
        <v>57</v>
      </c>
      <c r="E187" t="s">
        <v>82</v>
      </c>
      <c r="F187" s="2">
        <v>2024</v>
      </c>
      <c r="G187" t="s">
        <v>1340</v>
      </c>
      <c r="H187">
        <v>133</v>
      </c>
      <c r="I187">
        <v>5.3</v>
      </c>
      <c r="J187">
        <v>90656</v>
      </c>
      <c r="K187">
        <v>537.74</v>
      </c>
      <c r="L187" t="s">
        <v>24</v>
      </c>
      <c r="M187" t="s">
        <v>1338</v>
      </c>
      <c r="N187" t="s">
        <v>54</v>
      </c>
      <c r="O187" s="7" t="s">
        <v>63</v>
      </c>
    </row>
    <row r="188" spans="1:15" x14ac:dyDescent="0.3">
      <c r="A188" t="s">
        <v>491</v>
      </c>
      <c r="B188" t="s">
        <v>492</v>
      </c>
      <c r="C188" t="s">
        <v>39</v>
      </c>
      <c r="D188" t="s">
        <v>64</v>
      </c>
      <c r="E188" t="s">
        <v>41</v>
      </c>
      <c r="F188" s="2">
        <v>2020</v>
      </c>
      <c r="G188" t="s">
        <v>1326</v>
      </c>
      <c r="H188">
        <v>91</v>
      </c>
      <c r="I188">
        <v>7.1</v>
      </c>
      <c r="J188">
        <v>265542</v>
      </c>
      <c r="K188">
        <v>941.7</v>
      </c>
      <c r="L188" t="s">
        <v>109</v>
      </c>
      <c r="M188" t="s">
        <v>1323</v>
      </c>
      <c r="N188" t="s">
        <v>60</v>
      </c>
      <c r="O188" s="6" t="s">
        <v>130</v>
      </c>
    </row>
    <row r="189" spans="1:15" x14ac:dyDescent="0.3">
      <c r="A189" t="s">
        <v>493</v>
      </c>
      <c r="B189" t="s">
        <v>494</v>
      </c>
      <c r="C189" t="s">
        <v>48</v>
      </c>
      <c r="D189" t="s">
        <v>20</v>
      </c>
      <c r="E189" t="s">
        <v>31</v>
      </c>
      <c r="F189" s="2">
        <v>2016</v>
      </c>
      <c r="G189" t="s">
        <v>1316</v>
      </c>
      <c r="H189">
        <v>111</v>
      </c>
      <c r="I189">
        <v>8.1</v>
      </c>
      <c r="J189">
        <v>434953</v>
      </c>
      <c r="K189">
        <v>41.73</v>
      </c>
      <c r="L189" t="s">
        <v>73</v>
      </c>
      <c r="M189" t="s">
        <v>1339</v>
      </c>
      <c r="N189" t="s">
        <v>54</v>
      </c>
      <c r="O189" s="7" t="s">
        <v>130</v>
      </c>
    </row>
    <row r="190" spans="1:15" x14ac:dyDescent="0.3">
      <c r="A190" t="s">
        <v>495</v>
      </c>
      <c r="B190" t="s">
        <v>496</v>
      </c>
      <c r="C190" t="s">
        <v>39</v>
      </c>
      <c r="D190" t="s">
        <v>81</v>
      </c>
      <c r="E190" t="s">
        <v>82</v>
      </c>
      <c r="F190" s="2">
        <v>2016</v>
      </c>
      <c r="G190" t="s">
        <v>1331</v>
      </c>
      <c r="H190">
        <v>164</v>
      </c>
      <c r="I190">
        <v>7.1</v>
      </c>
      <c r="J190">
        <v>669307</v>
      </c>
      <c r="K190">
        <v>326.12</v>
      </c>
      <c r="L190" t="s">
        <v>145</v>
      </c>
      <c r="M190" t="s">
        <v>1321</v>
      </c>
      <c r="N190" t="s">
        <v>54</v>
      </c>
      <c r="O190" s="6" t="s">
        <v>19</v>
      </c>
    </row>
    <row r="191" spans="1:15" x14ac:dyDescent="0.3">
      <c r="A191" t="s">
        <v>497</v>
      </c>
      <c r="B191" t="s">
        <v>498</v>
      </c>
      <c r="C191" t="s">
        <v>130</v>
      </c>
      <c r="D191" t="s">
        <v>211</v>
      </c>
      <c r="E191" t="s">
        <v>139</v>
      </c>
      <c r="F191" s="2">
        <v>2024</v>
      </c>
      <c r="G191" t="s">
        <v>1319</v>
      </c>
      <c r="H191">
        <v>108</v>
      </c>
      <c r="I191">
        <v>6</v>
      </c>
      <c r="J191">
        <v>788847</v>
      </c>
      <c r="K191">
        <v>513.64</v>
      </c>
      <c r="L191" t="s">
        <v>140</v>
      </c>
      <c r="M191" t="s">
        <v>1315</v>
      </c>
      <c r="N191" t="s">
        <v>27</v>
      </c>
      <c r="O191" s="7" t="s">
        <v>19</v>
      </c>
    </row>
    <row r="192" spans="1:15" x14ac:dyDescent="0.3">
      <c r="A192" t="s">
        <v>499</v>
      </c>
      <c r="B192" t="s">
        <v>500</v>
      </c>
      <c r="C192" t="s">
        <v>86</v>
      </c>
      <c r="D192" t="s">
        <v>72</v>
      </c>
      <c r="E192" t="s">
        <v>31</v>
      </c>
      <c r="F192" s="2">
        <v>2018</v>
      </c>
      <c r="G192" t="s">
        <v>1332</v>
      </c>
      <c r="H192">
        <v>116</v>
      </c>
      <c r="I192">
        <v>7.6</v>
      </c>
      <c r="J192">
        <v>817576</v>
      </c>
      <c r="K192">
        <v>198.23</v>
      </c>
      <c r="L192" t="s">
        <v>83</v>
      </c>
      <c r="M192" t="s">
        <v>1317</v>
      </c>
      <c r="N192" t="s">
        <v>152</v>
      </c>
      <c r="O192" s="6" t="s">
        <v>39</v>
      </c>
    </row>
    <row r="193" spans="1:15" x14ac:dyDescent="0.3">
      <c r="A193" t="s">
        <v>501</v>
      </c>
      <c r="B193" t="s">
        <v>502</v>
      </c>
      <c r="C193" t="s">
        <v>39</v>
      </c>
      <c r="D193" t="s">
        <v>72</v>
      </c>
      <c r="E193" t="s">
        <v>92</v>
      </c>
      <c r="F193" s="2">
        <v>2024</v>
      </c>
      <c r="G193" t="s">
        <v>1332</v>
      </c>
      <c r="H193">
        <v>104</v>
      </c>
      <c r="I193">
        <v>5.9</v>
      </c>
      <c r="J193">
        <v>392877</v>
      </c>
      <c r="K193">
        <v>843.48</v>
      </c>
      <c r="L193" t="s">
        <v>83</v>
      </c>
      <c r="M193" t="s">
        <v>1336</v>
      </c>
      <c r="N193" t="s">
        <v>152</v>
      </c>
      <c r="O193" s="7" t="s">
        <v>48</v>
      </c>
    </row>
    <row r="194" spans="1:15" x14ac:dyDescent="0.3">
      <c r="A194" t="s">
        <v>503</v>
      </c>
      <c r="B194" t="s">
        <v>504</v>
      </c>
      <c r="C194" t="s">
        <v>39</v>
      </c>
      <c r="D194" t="s">
        <v>40</v>
      </c>
      <c r="E194" t="s">
        <v>31</v>
      </c>
      <c r="F194" s="2">
        <v>2015</v>
      </c>
      <c r="G194" t="s">
        <v>1331</v>
      </c>
      <c r="H194">
        <v>179</v>
      </c>
      <c r="I194">
        <v>7.7</v>
      </c>
      <c r="J194">
        <v>414096</v>
      </c>
      <c r="K194">
        <v>887.26</v>
      </c>
      <c r="L194" t="s">
        <v>101</v>
      </c>
      <c r="M194" t="s">
        <v>1342</v>
      </c>
      <c r="N194" t="s">
        <v>27</v>
      </c>
      <c r="O194" s="6" t="s">
        <v>39</v>
      </c>
    </row>
    <row r="195" spans="1:15" x14ac:dyDescent="0.3">
      <c r="A195" t="s">
        <v>505</v>
      </c>
      <c r="B195" t="s">
        <v>506</v>
      </c>
      <c r="C195" t="s">
        <v>71</v>
      </c>
      <c r="D195" t="s">
        <v>20</v>
      </c>
      <c r="E195" t="s">
        <v>88</v>
      </c>
      <c r="F195" s="2">
        <v>2024</v>
      </c>
      <c r="G195" t="s">
        <v>1332</v>
      </c>
      <c r="H195">
        <v>121</v>
      </c>
      <c r="I195">
        <v>8.1</v>
      </c>
      <c r="J195">
        <v>725048</v>
      </c>
      <c r="K195">
        <v>989.68</v>
      </c>
      <c r="L195" t="s">
        <v>133</v>
      </c>
      <c r="M195" t="s">
        <v>1339</v>
      </c>
      <c r="N195" t="s">
        <v>60</v>
      </c>
      <c r="O195" s="7" t="s">
        <v>130</v>
      </c>
    </row>
    <row r="196" spans="1:15" x14ac:dyDescent="0.3">
      <c r="A196" t="s">
        <v>507</v>
      </c>
      <c r="B196" t="s">
        <v>508</v>
      </c>
      <c r="C196" t="s">
        <v>39</v>
      </c>
      <c r="D196" t="s">
        <v>20</v>
      </c>
      <c r="E196" t="s">
        <v>31</v>
      </c>
      <c r="F196" s="2">
        <v>2024</v>
      </c>
      <c r="G196" t="s">
        <v>1334</v>
      </c>
      <c r="H196">
        <v>113</v>
      </c>
      <c r="I196">
        <v>5.6</v>
      </c>
      <c r="J196">
        <v>820034</v>
      </c>
      <c r="K196">
        <v>623.04</v>
      </c>
      <c r="L196" t="s">
        <v>43</v>
      </c>
      <c r="M196" t="s">
        <v>1335</v>
      </c>
      <c r="N196" t="s">
        <v>123</v>
      </c>
      <c r="O196" s="6" t="s">
        <v>86</v>
      </c>
    </row>
    <row r="197" spans="1:15" x14ac:dyDescent="0.3">
      <c r="A197" t="s">
        <v>509</v>
      </c>
      <c r="B197" t="s">
        <v>510</v>
      </c>
      <c r="C197" t="s">
        <v>48</v>
      </c>
      <c r="D197" t="s">
        <v>20</v>
      </c>
      <c r="E197" t="s">
        <v>41</v>
      </c>
      <c r="F197" s="2">
        <v>2023</v>
      </c>
      <c r="G197" t="s">
        <v>1326</v>
      </c>
      <c r="H197">
        <v>137</v>
      </c>
      <c r="I197">
        <v>7.4</v>
      </c>
      <c r="J197">
        <v>685407</v>
      </c>
      <c r="K197">
        <v>1563.62</v>
      </c>
      <c r="L197" t="s">
        <v>145</v>
      </c>
      <c r="M197" t="s">
        <v>1339</v>
      </c>
      <c r="N197" t="s">
        <v>54</v>
      </c>
      <c r="O197" s="7" t="s">
        <v>39</v>
      </c>
    </row>
    <row r="198" spans="1:15" x14ac:dyDescent="0.3">
      <c r="A198" t="s">
        <v>511</v>
      </c>
      <c r="B198" t="s">
        <v>512</v>
      </c>
      <c r="C198" t="s">
        <v>39</v>
      </c>
      <c r="D198" t="s">
        <v>20</v>
      </c>
      <c r="E198" t="s">
        <v>31</v>
      </c>
      <c r="F198" s="2">
        <v>2019</v>
      </c>
      <c r="G198" t="s">
        <v>1316</v>
      </c>
      <c r="H198">
        <v>107</v>
      </c>
      <c r="I198">
        <v>6.7</v>
      </c>
      <c r="J198">
        <v>188014</v>
      </c>
      <c r="K198">
        <v>100.17</v>
      </c>
      <c r="L198" t="s">
        <v>66</v>
      </c>
      <c r="M198" t="s">
        <v>1342</v>
      </c>
      <c r="N198" t="s">
        <v>68</v>
      </c>
      <c r="O198" s="6" t="s">
        <v>39</v>
      </c>
    </row>
    <row r="199" spans="1:15" x14ac:dyDescent="0.3">
      <c r="A199" t="s">
        <v>513</v>
      </c>
      <c r="B199" t="s">
        <v>514</v>
      </c>
      <c r="C199" t="s">
        <v>39</v>
      </c>
      <c r="D199" t="s">
        <v>40</v>
      </c>
      <c r="E199" t="s">
        <v>41</v>
      </c>
      <c r="F199" s="2">
        <v>2019</v>
      </c>
      <c r="G199" t="s">
        <v>1332</v>
      </c>
      <c r="H199">
        <v>177</v>
      </c>
      <c r="I199">
        <v>7.8</v>
      </c>
      <c r="J199">
        <v>656195</v>
      </c>
      <c r="K199">
        <v>616.26</v>
      </c>
      <c r="L199" t="s">
        <v>43</v>
      </c>
      <c r="M199" t="s">
        <v>1330</v>
      </c>
      <c r="N199" t="s">
        <v>152</v>
      </c>
      <c r="O199" s="7" t="s">
        <v>71</v>
      </c>
    </row>
    <row r="200" spans="1:15" x14ac:dyDescent="0.3">
      <c r="A200" t="s">
        <v>515</v>
      </c>
      <c r="B200" t="s">
        <v>516</v>
      </c>
      <c r="C200" t="s">
        <v>130</v>
      </c>
      <c r="D200" t="s">
        <v>20</v>
      </c>
      <c r="E200" t="s">
        <v>92</v>
      </c>
      <c r="F200" s="2">
        <v>2022</v>
      </c>
      <c r="G200" t="s">
        <v>1316</v>
      </c>
      <c r="H200">
        <v>157</v>
      </c>
      <c r="I200">
        <v>6.8</v>
      </c>
      <c r="J200">
        <v>387051</v>
      </c>
      <c r="K200">
        <v>129.12</v>
      </c>
      <c r="L200" t="s">
        <v>83</v>
      </c>
      <c r="M200" t="s">
        <v>1343</v>
      </c>
      <c r="N200" t="s">
        <v>60</v>
      </c>
      <c r="O200" s="6" t="s">
        <v>39</v>
      </c>
    </row>
    <row r="201" spans="1:15" x14ac:dyDescent="0.3">
      <c r="A201" t="s">
        <v>517</v>
      </c>
      <c r="B201" t="s">
        <v>518</v>
      </c>
      <c r="C201" t="s">
        <v>39</v>
      </c>
      <c r="D201" t="s">
        <v>64</v>
      </c>
      <c r="E201" t="s">
        <v>192</v>
      </c>
      <c r="F201" s="2">
        <v>2023</v>
      </c>
      <c r="G201" t="s">
        <v>1340</v>
      </c>
      <c r="H201">
        <v>100</v>
      </c>
      <c r="I201">
        <v>6.8</v>
      </c>
      <c r="J201">
        <v>675992</v>
      </c>
      <c r="K201">
        <v>294</v>
      </c>
      <c r="L201" t="s">
        <v>83</v>
      </c>
      <c r="M201" t="s">
        <v>1328</v>
      </c>
      <c r="N201" t="s">
        <v>68</v>
      </c>
      <c r="O201" s="7" t="s">
        <v>48</v>
      </c>
    </row>
    <row r="202" spans="1:15" x14ac:dyDescent="0.3">
      <c r="A202" t="s">
        <v>519</v>
      </c>
      <c r="B202" t="s">
        <v>520</v>
      </c>
      <c r="C202" t="s">
        <v>48</v>
      </c>
      <c r="D202" t="s">
        <v>87</v>
      </c>
      <c r="E202" t="s">
        <v>41</v>
      </c>
      <c r="F202" s="2">
        <v>2025</v>
      </c>
      <c r="G202" t="s">
        <v>1329</v>
      </c>
      <c r="H202">
        <v>143</v>
      </c>
      <c r="I202">
        <v>8</v>
      </c>
      <c r="J202">
        <v>268529</v>
      </c>
      <c r="K202">
        <v>1141.98</v>
      </c>
      <c r="L202" t="s">
        <v>66</v>
      </c>
      <c r="M202" t="s">
        <v>1343</v>
      </c>
      <c r="N202" t="s">
        <v>36</v>
      </c>
      <c r="O202" s="6" t="s">
        <v>39</v>
      </c>
    </row>
    <row r="203" spans="1:15" x14ac:dyDescent="0.3">
      <c r="A203" t="s">
        <v>521</v>
      </c>
      <c r="B203" t="s">
        <v>522</v>
      </c>
      <c r="C203" t="s">
        <v>19</v>
      </c>
      <c r="D203" t="s">
        <v>20</v>
      </c>
      <c r="E203" t="s">
        <v>41</v>
      </c>
      <c r="F203" s="2">
        <v>2021</v>
      </c>
      <c r="G203" t="s">
        <v>1319</v>
      </c>
      <c r="H203">
        <v>94</v>
      </c>
      <c r="I203">
        <v>7.4</v>
      </c>
      <c r="J203">
        <v>471680</v>
      </c>
      <c r="K203">
        <v>993.45</v>
      </c>
      <c r="L203" t="s">
        <v>101</v>
      </c>
      <c r="M203" t="s">
        <v>1328</v>
      </c>
      <c r="N203" t="s">
        <v>60</v>
      </c>
      <c r="O203" s="7" t="s">
        <v>39</v>
      </c>
    </row>
    <row r="204" spans="1:15" x14ac:dyDescent="0.3">
      <c r="A204" t="s">
        <v>523</v>
      </c>
      <c r="B204" t="s">
        <v>524</v>
      </c>
      <c r="C204" t="s">
        <v>63</v>
      </c>
      <c r="D204" t="s">
        <v>40</v>
      </c>
      <c r="E204" t="s">
        <v>192</v>
      </c>
      <c r="F204" s="2">
        <v>2017</v>
      </c>
      <c r="G204" t="s">
        <v>1332</v>
      </c>
      <c r="H204">
        <v>98</v>
      </c>
      <c r="I204">
        <v>6.6</v>
      </c>
      <c r="J204">
        <v>138735</v>
      </c>
      <c r="K204">
        <v>282.54000000000002</v>
      </c>
      <c r="L204" t="s">
        <v>83</v>
      </c>
      <c r="M204" t="s">
        <v>1337</v>
      </c>
      <c r="N204" t="s">
        <v>36</v>
      </c>
      <c r="O204" s="6" t="s">
        <v>130</v>
      </c>
    </row>
    <row r="205" spans="1:15" x14ac:dyDescent="0.3">
      <c r="A205" t="s">
        <v>525</v>
      </c>
      <c r="B205" t="s">
        <v>526</v>
      </c>
      <c r="C205" t="s">
        <v>63</v>
      </c>
      <c r="D205" t="s">
        <v>87</v>
      </c>
      <c r="E205" t="s">
        <v>41</v>
      </c>
      <c r="F205" s="2">
        <v>2019</v>
      </c>
      <c r="G205" t="s">
        <v>1332</v>
      </c>
      <c r="H205">
        <v>93</v>
      </c>
      <c r="I205">
        <v>7.5</v>
      </c>
      <c r="J205">
        <v>23907</v>
      </c>
      <c r="K205">
        <v>514.21</v>
      </c>
      <c r="L205" t="s">
        <v>109</v>
      </c>
      <c r="M205" t="s">
        <v>1336</v>
      </c>
      <c r="N205" t="s">
        <v>27</v>
      </c>
      <c r="O205" s="7" t="s">
        <v>39</v>
      </c>
    </row>
    <row r="206" spans="1:15" x14ac:dyDescent="0.3">
      <c r="A206" t="s">
        <v>527</v>
      </c>
      <c r="B206" t="s">
        <v>528</v>
      </c>
      <c r="C206" t="s">
        <v>48</v>
      </c>
      <c r="D206" t="s">
        <v>57</v>
      </c>
      <c r="E206" t="s">
        <v>41</v>
      </c>
      <c r="F206" s="2">
        <v>2018</v>
      </c>
      <c r="G206" t="s">
        <v>1334</v>
      </c>
      <c r="H206">
        <v>86</v>
      </c>
      <c r="I206">
        <v>7.1</v>
      </c>
      <c r="J206">
        <v>773522</v>
      </c>
      <c r="K206">
        <v>1228.17</v>
      </c>
      <c r="L206" t="s">
        <v>24</v>
      </c>
      <c r="M206" t="s">
        <v>1335</v>
      </c>
      <c r="N206" t="s">
        <v>54</v>
      </c>
      <c r="O206" s="6" t="s">
        <v>48</v>
      </c>
    </row>
    <row r="207" spans="1:15" x14ac:dyDescent="0.3">
      <c r="A207" t="s">
        <v>529</v>
      </c>
      <c r="B207" t="s">
        <v>530</v>
      </c>
      <c r="C207" t="s">
        <v>48</v>
      </c>
      <c r="D207" t="s">
        <v>20</v>
      </c>
      <c r="E207" t="s">
        <v>92</v>
      </c>
      <c r="F207" s="2">
        <v>2019</v>
      </c>
      <c r="G207" t="s">
        <v>1325</v>
      </c>
      <c r="H207">
        <v>160</v>
      </c>
      <c r="I207">
        <v>8.5</v>
      </c>
      <c r="J207">
        <v>146693</v>
      </c>
      <c r="K207">
        <v>288.17</v>
      </c>
      <c r="L207" t="s">
        <v>83</v>
      </c>
      <c r="M207" t="s">
        <v>1341</v>
      </c>
      <c r="N207" t="s">
        <v>36</v>
      </c>
      <c r="O207" s="7" t="s">
        <v>19</v>
      </c>
    </row>
    <row r="208" spans="1:15" x14ac:dyDescent="0.3">
      <c r="A208" t="s">
        <v>531</v>
      </c>
      <c r="B208" t="s">
        <v>532</v>
      </c>
      <c r="C208" t="s">
        <v>86</v>
      </c>
      <c r="D208" t="s">
        <v>20</v>
      </c>
      <c r="E208" t="s">
        <v>208</v>
      </c>
      <c r="F208" s="2">
        <v>2023</v>
      </c>
      <c r="G208" t="s">
        <v>1319</v>
      </c>
      <c r="H208">
        <v>145</v>
      </c>
      <c r="I208">
        <v>6.4</v>
      </c>
      <c r="J208">
        <v>922952</v>
      </c>
      <c r="K208">
        <v>347.98</v>
      </c>
      <c r="L208" t="s">
        <v>24</v>
      </c>
      <c r="M208" t="s">
        <v>1324</v>
      </c>
      <c r="N208" t="s">
        <v>152</v>
      </c>
      <c r="O208" s="6" t="s">
        <v>63</v>
      </c>
    </row>
    <row r="209" spans="1:15" x14ac:dyDescent="0.3">
      <c r="A209" t="s">
        <v>533</v>
      </c>
      <c r="B209" t="s">
        <v>534</v>
      </c>
      <c r="C209" t="s">
        <v>39</v>
      </c>
      <c r="D209" t="s">
        <v>81</v>
      </c>
      <c r="E209" t="s">
        <v>82</v>
      </c>
      <c r="F209" s="2">
        <v>2023</v>
      </c>
      <c r="G209" t="s">
        <v>1326</v>
      </c>
      <c r="H209">
        <v>145</v>
      </c>
      <c r="I209">
        <v>5.9</v>
      </c>
      <c r="J209">
        <v>329919</v>
      </c>
      <c r="K209">
        <v>609.1</v>
      </c>
      <c r="L209" t="s">
        <v>133</v>
      </c>
      <c r="M209" t="s">
        <v>1339</v>
      </c>
      <c r="N209" t="s">
        <v>123</v>
      </c>
      <c r="O209" s="7" t="s">
        <v>63</v>
      </c>
    </row>
    <row r="210" spans="1:15" x14ac:dyDescent="0.3">
      <c r="A210" t="s">
        <v>535</v>
      </c>
      <c r="B210" t="s">
        <v>536</v>
      </c>
      <c r="C210" t="s">
        <v>144</v>
      </c>
      <c r="D210" t="s">
        <v>20</v>
      </c>
      <c r="E210" t="s">
        <v>88</v>
      </c>
      <c r="F210" s="2">
        <v>2017</v>
      </c>
      <c r="G210" t="s">
        <v>1340</v>
      </c>
      <c r="H210">
        <v>146</v>
      </c>
      <c r="I210">
        <v>6.7</v>
      </c>
      <c r="J210">
        <v>235937</v>
      </c>
      <c r="K210">
        <v>667.28</v>
      </c>
      <c r="L210" t="s">
        <v>43</v>
      </c>
      <c r="M210" t="s">
        <v>1318</v>
      </c>
      <c r="N210" t="s">
        <v>36</v>
      </c>
      <c r="O210" s="6" t="s">
        <v>48</v>
      </c>
    </row>
    <row r="211" spans="1:15" x14ac:dyDescent="0.3">
      <c r="A211" t="s">
        <v>537</v>
      </c>
      <c r="B211" t="s">
        <v>538</v>
      </c>
      <c r="C211" t="s">
        <v>39</v>
      </c>
      <c r="D211" t="s">
        <v>20</v>
      </c>
      <c r="E211" t="s">
        <v>41</v>
      </c>
      <c r="F211" s="2">
        <v>2021</v>
      </c>
      <c r="G211" t="s">
        <v>1327</v>
      </c>
      <c r="H211">
        <v>112</v>
      </c>
      <c r="I211">
        <v>7.2</v>
      </c>
      <c r="J211">
        <v>847109</v>
      </c>
      <c r="K211">
        <v>706.65</v>
      </c>
      <c r="L211" t="s">
        <v>24</v>
      </c>
      <c r="M211" t="s">
        <v>1337</v>
      </c>
      <c r="N211" t="s">
        <v>152</v>
      </c>
      <c r="O211" s="7" t="s">
        <v>48</v>
      </c>
    </row>
    <row r="212" spans="1:15" x14ac:dyDescent="0.3">
      <c r="A212" t="s">
        <v>539</v>
      </c>
      <c r="B212" t="s">
        <v>540</v>
      </c>
      <c r="C212" t="s">
        <v>86</v>
      </c>
      <c r="D212" t="s">
        <v>57</v>
      </c>
      <c r="E212" t="s">
        <v>88</v>
      </c>
      <c r="F212" s="2">
        <v>2018</v>
      </c>
      <c r="G212" t="s">
        <v>1316</v>
      </c>
      <c r="H212">
        <v>128</v>
      </c>
      <c r="I212">
        <v>7.8</v>
      </c>
      <c r="J212">
        <v>664800</v>
      </c>
      <c r="K212">
        <v>994.99</v>
      </c>
      <c r="L212" t="s">
        <v>89</v>
      </c>
      <c r="M212" t="s">
        <v>1328</v>
      </c>
      <c r="N212" t="s">
        <v>27</v>
      </c>
      <c r="O212" s="6" t="s">
        <v>86</v>
      </c>
    </row>
    <row r="213" spans="1:15" x14ac:dyDescent="0.3">
      <c r="A213" t="s">
        <v>541</v>
      </c>
      <c r="B213" t="s">
        <v>542</v>
      </c>
      <c r="C213" t="s">
        <v>39</v>
      </c>
      <c r="D213" t="s">
        <v>64</v>
      </c>
      <c r="E213" t="s">
        <v>41</v>
      </c>
      <c r="F213" s="2">
        <v>2019</v>
      </c>
      <c r="G213" t="s">
        <v>1314</v>
      </c>
      <c r="H213">
        <v>164</v>
      </c>
      <c r="I213">
        <v>7.2</v>
      </c>
      <c r="J213">
        <v>386828</v>
      </c>
      <c r="K213">
        <v>1429.5</v>
      </c>
      <c r="L213" t="s">
        <v>179</v>
      </c>
      <c r="M213" t="s">
        <v>1321</v>
      </c>
      <c r="N213" t="s">
        <v>152</v>
      </c>
      <c r="O213" s="7" t="s">
        <v>39</v>
      </c>
    </row>
    <row r="214" spans="1:15" x14ac:dyDescent="0.3">
      <c r="A214" t="s">
        <v>543</v>
      </c>
      <c r="B214" t="s">
        <v>544</v>
      </c>
      <c r="C214" t="s">
        <v>144</v>
      </c>
      <c r="D214" t="s">
        <v>64</v>
      </c>
      <c r="E214" t="s">
        <v>192</v>
      </c>
      <c r="F214" s="2">
        <v>2018</v>
      </c>
      <c r="G214" t="s">
        <v>1334</v>
      </c>
      <c r="H214">
        <v>139</v>
      </c>
      <c r="I214">
        <v>6.2</v>
      </c>
      <c r="J214">
        <v>310634</v>
      </c>
      <c r="K214">
        <v>642.30999999999995</v>
      </c>
      <c r="L214" t="s">
        <v>101</v>
      </c>
      <c r="M214" t="s">
        <v>1342</v>
      </c>
      <c r="N214" t="s">
        <v>27</v>
      </c>
      <c r="O214" s="6" t="s">
        <v>144</v>
      </c>
    </row>
    <row r="215" spans="1:15" x14ac:dyDescent="0.3">
      <c r="A215" t="s">
        <v>545</v>
      </c>
      <c r="B215" t="s">
        <v>546</v>
      </c>
      <c r="C215" t="s">
        <v>30</v>
      </c>
      <c r="D215" t="s">
        <v>81</v>
      </c>
      <c r="E215" t="s">
        <v>41</v>
      </c>
      <c r="F215" s="2">
        <v>2016</v>
      </c>
      <c r="G215" t="s">
        <v>1314</v>
      </c>
      <c r="H215">
        <v>175</v>
      </c>
      <c r="I215">
        <v>6.8</v>
      </c>
      <c r="J215">
        <v>283200</v>
      </c>
      <c r="K215">
        <v>125.3</v>
      </c>
      <c r="L215" t="s">
        <v>145</v>
      </c>
      <c r="M215" t="s">
        <v>1321</v>
      </c>
      <c r="N215" t="s">
        <v>123</v>
      </c>
      <c r="O215" s="7" t="s">
        <v>39</v>
      </c>
    </row>
    <row r="216" spans="1:15" x14ac:dyDescent="0.3">
      <c r="A216" t="s">
        <v>547</v>
      </c>
      <c r="B216" t="s">
        <v>548</v>
      </c>
      <c r="C216" t="s">
        <v>86</v>
      </c>
      <c r="D216" t="s">
        <v>87</v>
      </c>
      <c r="E216" t="s">
        <v>88</v>
      </c>
      <c r="F216" s="2">
        <v>2016</v>
      </c>
      <c r="G216" t="s">
        <v>1314</v>
      </c>
      <c r="H216">
        <v>176</v>
      </c>
      <c r="I216">
        <v>7.2</v>
      </c>
      <c r="J216">
        <v>74632</v>
      </c>
      <c r="K216">
        <v>356.21</v>
      </c>
      <c r="L216" t="s">
        <v>73</v>
      </c>
      <c r="M216" t="s">
        <v>1323</v>
      </c>
      <c r="N216" t="s">
        <v>123</v>
      </c>
      <c r="O216" s="6" t="s">
        <v>86</v>
      </c>
    </row>
    <row r="217" spans="1:15" x14ac:dyDescent="0.3">
      <c r="A217" t="s">
        <v>549</v>
      </c>
      <c r="B217" t="s">
        <v>550</v>
      </c>
      <c r="C217" t="s">
        <v>63</v>
      </c>
      <c r="D217" t="s">
        <v>20</v>
      </c>
      <c r="E217" t="s">
        <v>31</v>
      </c>
      <c r="F217" s="2">
        <v>2023</v>
      </c>
      <c r="G217" t="s">
        <v>1331</v>
      </c>
      <c r="H217">
        <v>177</v>
      </c>
      <c r="I217">
        <v>6.3</v>
      </c>
      <c r="J217">
        <v>857160</v>
      </c>
      <c r="K217">
        <v>511.17</v>
      </c>
      <c r="L217" t="s">
        <v>101</v>
      </c>
      <c r="M217" t="s">
        <v>1317</v>
      </c>
      <c r="N217" t="s">
        <v>60</v>
      </c>
      <c r="O217" s="7" t="s">
        <v>39</v>
      </c>
    </row>
    <row r="218" spans="1:15" x14ac:dyDescent="0.3">
      <c r="A218" t="s">
        <v>551</v>
      </c>
      <c r="B218" t="s">
        <v>552</v>
      </c>
      <c r="C218" t="s">
        <v>86</v>
      </c>
      <c r="D218" t="s">
        <v>20</v>
      </c>
      <c r="E218" t="s">
        <v>41</v>
      </c>
      <c r="F218" s="2">
        <v>2019</v>
      </c>
      <c r="G218" t="s">
        <v>1329</v>
      </c>
      <c r="H218">
        <v>112</v>
      </c>
      <c r="I218">
        <v>7.7</v>
      </c>
      <c r="J218">
        <v>2987</v>
      </c>
      <c r="K218">
        <v>101.42</v>
      </c>
      <c r="L218" t="s">
        <v>109</v>
      </c>
      <c r="M218" t="s">
        <v>1323</v>
      </c>
      <c r="N218" t="s">
        <v>54</v>
      </c>
      <c r="O218" s="6" t="s">
        <v>144</v>
      </c>
    </row>
    <row r="219" spans="1:15" x14ac:dyDescent="0.3">
      <c r="A219" t="s">
        <v>553</v>
      </c>
      <c r="B219" t="s">
        <v>554</v>
      </c>
      <c r="C219" t="s">
        <v>39</v>
      </c>
      <c r="D219" t="s">
        <v>57</v>
      </c>
      <c r="E219" t="s">
        <v>208</v>
      </c>
      <c r="F219" s="2">
        <v>2017</v>
      </c>
      <c r="G219" t="s">
        <v>1331</v>
      </c>
      <c r="H219">
        <v>190</v>
      </c>
      <c r="I219">
        <v>7.7</v>
      </c>
      <c r="J219">
        <v>433807</v>
      </c>
      <c r="K219">
        <v>462.21</v>
      </c>
      <c r="L219" t="s">
        <v>24</v>
      </c>
      <c r="M219" t="s">
        <v>1333</v>
      </c>
      <c r="N219" t="s">
        <v>60</v>
      </c>
      <c r="O219" s="7" t="s">
        <v>30</v>
      </c>
    </row>
    <row r="220" spans="1:15" x14ac:dyDescent="0.3">
      <c r="A220" t="s">
        <v>555</v>
      </c>
      <c r="B220" t="s">
        <v>556</v>
      </c>
      <c r="C220" t="s">
        <v>30</v>
      </c>
      <c r="D220" t="s">
        <v>40</v>
      </c>
      <c r="E220" t="s">
        <v>88</v>
      </c>
      <c r="F220" s="2">
        <v>2024</v>
      </c>
      <c r="G220" t="s">
        <v>1326</v>
      </c>
      <c r="H220">
        <v>110</v>
      </c>
      <c r="I220">
        <v>7.7</v>
      </c>
      <c r="J220">
        <v>195841</v>
      </c>
      <c r="K220">
        <v>570.91999999999996</v>
      </c>
      <c r="L220" t="s">
        <v>73</v>
      </c>
      <c r="M220" t="s">
        <v>1343</v>
      </c>
      <c r="N220" t="s">
        <v>54</v>
      </c>
      <c r="O220" s="6" t="s">
        <v>86</v>
      </c>
    </row>
    <row r="221" spans="1:15" x14ac:dyDescent="0.3">
      <c r="A221" t="s">
        <v>557</v>
      </c>
      <c r="B221" t="s">
        <v>558</v>
      </c>
      <c r="C221" t="s">
        <v>104</v>
      </c>
      <c r="D221" t="s">
        <v>72</v>
      </c>
      <c r="E221" t="s">
        <v>82</v>
      </c>
      <c r="F221" s="2">
        <v>2015</v>
      </c>
      <c r="G221" t="s">
        <v>1325</v>
      </c>
      <c r="H221">
        <v>161</v>
      </c>
      <c r="I221">
        <v>7.5</v>
      </c>
      <c r="J221">
        <v>817156</v>
      </c>
      <c r="K221">
        <v>445.64</v>
      </c>
      <c r="L221" t="s">
        <v>101</v>
      </c>
      <c r="M221" t="s">
        <v>1324</v>
      </c>
      <c r="N221" t="s">
        <v>36</v>
      </c>
      <c r="O221" s="7" t="s">
        <v>63</v>
      </c>
    </row>
    <row r="222" spans="1:15" x14ac:dyDescent="0.3">
      <c r="A222" t="s">
        <v>559</v>
      </c>
      <c r="B222" t="s">
        <v>560</v>
      </c>
      <c r="C222" t="s">
        <v>39</v>
      </c>
      <c r="D222" t="s">
        <v>64</v>
      </c>
      <c r="E222" t="s">
        <v>82</v>
      </c>
      <c r="F222" s="2">
        <v>2015</v>
      </c>
      <c r="G222" t="s">
        <v>1326</v>
      </c>
      <c r="H222">
        <v>113</v>
      </c>
      <c r="I222">
        <v>7.9</v>
      </c>
      <c r="J222">
        <v>421200</v>
      </c>
      <c r="K222">
        <v>74.760000000000005</v>
      </c>
      <c r="L222" t="s">
        <v>52</v>
      </c>
      <c r="M222" t="s">
        <v>1343</v>
      </c>
      <c r="N222" t="s">
        <v>152</v>
      </c>
      <c r="O222" s="6" t="s">
        <v>86</v>
      </c>
    </row>
    <row r="223" spans="1:15" x14ac:dyDescent="0.3">
      <c r="A223" t="s">
        <v>561</v>
      </c>
      <c r="B223" t="s">
        <v>562</v>
      </c>
      <c r="C223" t="s">
        <v>19</v>
      </c>
      <c r="D223" t="s">
        <v>81</v>
      </c>
      <c r="E223" t="s">
        <v>192</v>
      </c>
      <c r="F223" s="2">
        <v>2021</v>
      </c>
      <c r="G223" t="s">
        <v>1327</v>
      </c>
      <c r="H223">
        <v>91</v>
      </c>
      <c r="I223">
        <v>6.9</v>
      </c>
      <c r="J223">
        <v>213198</v>
      </c>
      <c r="K223">
        <v>294.86</v>
      </c>
      <c r="L223" t="s">
        <v>89</v>
      </c>
      <c r="M223" t="s">
        <v>1328</v>
      </c>
      <c r="N223" t="s">
        <v>27</v>
      </c>
      <c r="O223" s="7" t="s">
        <v>39</v>
      </c>
    </row>
    <row r="224" spans="1:15" x14ac:dyDescent="0.3">
      <c r="A224" t="s">
        <v>563</v>
      </c>
      <c r="B224" t="s">
        <v>564</v>
      </c>
      <c r="C224" t="s">
        <v>104</v>
      </c>
      <c r="D224" t="s">
        <v>87</v>
      </c>
      <c r="E224" t="s">
        <v>88</v>
      </c>
      <c r="F224" s="2">
        <v>2015</v>
      </c>
      <c r="G224" t="s">
        <v>1334</v>
      </c>
      <c r="H224">
        <v>102</v>
      </c>
      <c r="I224">
        <v>7.8</v>
      </c>
      <c r="J224">
        <v>315722</v>
      </c>
      <c r="K224">
        <v>551.16</v>
      </c>
      <c r="L224" t="s">
        <v>73</v>
      </c>
      <c r="M224" t="s">
        <v>1318</v>
      </c>
      <c r="N224" t="s">
        <v>60</v>
      </c>
      <c r="O224" s="6" t="s">
        <v>30</v>
      </c>
    </row>
    <row r="225" spans="1:15" x14ac:dyDescent="0.3">
      <c r="A225" t="s">
        <v>565</v>
      </c>
      <c r="B225" t="s">
        <v>566</v>
      </c>
      <c r="C225" t="s">
        <v>39</v>
      </c>
      <c r="D225" t="s">
        <v>40</v>
      </c>
      <c r="E225" t="s">
        <v>88</v>
      </c>
      <c r="F225" s="2">
        <v>2024</v>
      </c>
      <c r="G225" t="s">
        <v>1329</v>
      </c>
      <c r="H225">
        <v>179</v>
      </c>
      <c r="I225">
        <v>5.2</v>
      </c>
      <c r="J225">
        <v>653766</v>
      </c>
      <c r="K225">
        <v>203.1</v>
      </c>
      <c r="L225" t="s">
        <v>52</v>
      </c>
      <c r="M225" t="s">
        <v>1339</v>
      </c>
      <c r="N225" t="s">
        <v>68</v>
      </c>
      <c r="O225" s="7" t="s">
        <v>104</v>
      </c>
    </row>
    <row r="226" spans="1:15" x14ac:dyDescent="0.3">
      <c r="A226" t="s">
        <v>567</v>
      </c>
      <c r="B226" t="s">
        <v>568</v>
      </c>
      <c r="C226" t="s">
        <v>130</v>
      </c>
      <c r="D226" t="s">
        <v>20</v>
      </c>
      <c r="E226" t="s">
        <v>92</v>
      </c>
      <c r="F226" s="2">
        <v>2024</v>
      </c>
      <c r="G226" t="s">
        <v>1332</v>
      </c>
      <c r="H226">
        <v>129</v>
      </c>
      <c r="I226">
        <v>8.1</v>
      </c>
      <c r="J226">
        <v>314535</v>
      </c>
      <c r="K226">
        <v>439.57</v>
      </c>
      <c r="L226" t="s">
        <v>24</v>
      </c>
      <c r="M226" t="s">
        <v>1341</v>
      </c>
      <c r="N226" t="s">
        <v>123</v>
      </c>
      <c r="O226" s="6" t="s">
        <v>39</v>
      </c>
    </row>
    <row r="227" spans="1:15" x14ac:dyDescent="0.3">
      <c r="A227" t="s">
        <v>569</v>
      </c>
      <c r="B227" t="s">
        <v>570</v>
      </c>
      <c r="C227" t="s">
        <v>19</v>
      </c>
      <c r="D227" t="s">
        <v>215</v>
      </c>
      <c r="E227" t="s">
        <v>31</v>
      </c>
      <c r="F227" s="2">
        <v>2017</v>
      </c>
      <c r="G227" t="s">
        <v>1314</v>
      </c>
      <c r="H227">
        <v>98</v>
      </c>
      <c r="I227">
        <v>7.1</v>
      </c>
      <c r="J227">
        <v>242834</v>
      </c>
      <c r="K227">
        <v>268.62</v>
      </c>
      <c r="L227" t="s">
        <v>24</v>
      </c>
      <c r="M227" t="s">
        <v>1320</v>
      </c>
      <c r="N227" t="s">
        <v>27</v>
      </c>
      <c r="O227" s="7" t="s">
        <v>19</v>
      </c>
    </row>
    <row r="228" spans="1:15" x14ac:dyDescent="0.3">
      <c r="A228" t="s">
        <v>571</v>
      </c>
      <c r="B228" t="s">
        <v>572</v>
      </c>
      <c r="C228" t="s">
        <v>130</v>
      </c>
      <c r="D228" t="s">
        <v>20</v>
      </c>
      <c r="E228" t="s">
        <v>41</v>
      </c>
      <c r="F228" s="2">
        <v>2016</v>
      </c>
      <c r="G228" t="s">
        <v>1334</v>
      </c>
      <c r="H228">
        <v>167</v>
      </c>
      <c r="I228">
        <v>6.4</v>
      </c>
      <c r="J228">
        <v>863076</v>
      </c>
      <c r="K228">
        <v>457.78</v>
      </c>
      <c r="L228" t="s">
        <v>145</v>
      </c>
      <c r="M228" t="s">
        <v>1321</v>
      </c>
      <c r="N228" t="s">
        <v>27</v>
      </c>
      <c r="O228" s="6" t="s">
        <v>104</v>
      </c>
    </row>
    <row r="229" spans="1:15" x14ac:dyDescent="0.3">
      <c r="A229" t="s">
        <v>573</v>
      </c>
      <c r="B229" t="s">
        <v>574</v>
      </c>
      <c r="C229" t="s">
        <v>19</v>
      </c>
      <c r="D229" t="s">
        <v>20</v>
      </c>
      <c r="E229" t="s">
        <v>41</v>
      </c>
      <c r="F229" s="2">
        <v>2024</v>
      </c>
      <c r="G229" t="s">
        <v>1327</v>
      </c>
      <c r="H229">
        <v>121</v>
      </c>
      <c r="I229">
        <v>7.9</v>
      </c>
      <c r="J229">
        <v>803248</v>
      </c>
      <c r="K229">
        <v>777.87</v>
      </c>
      <c r="L229" t="s">
        <v>89</v>
      </c>
      <c r="M229" t="s">
        <v>1333</v>
      </c>
      <c r="N229" t="s">
        <v>36</v>
      </c>
      <c r="O229" s="7" t="s">
        <v>39</v>
      </c>
    </row>
    <row r="230" spans="1:15" x14ac:dyDescent="0.3">
      <c r="A230" t="s">
        <v>575</v>
      </c>
      <c r="B230" t="s">
        <v>576</v>
      </c>
      <c r="C230" t="s">
        <v>30</v>
      </c>
      <c r="D230" t="s">
        <v>40</v>
      </c>
      <c r="E230" t="s">
        <v>31</v>
      </c>
      <c r="F230" s="2">
        <v>2021</v>
      </c>
      <c r="G230" t="s">
        <v>1340</v>
      </c>
      <c r="H230">
        <v>115</v>
      </c>
      <c r="I230">
        <v>5.9</v>
      </c>
      <c r="J230">
        <v>643803</v>
      </c>
      <c r="K230">
        <v>1089.7</v>
      </c>
      <c r="L230" t="s">
        <v>145</v>
      </c>
      <c r="M230" t="s">
        <v>1335</v>
      </c>
      <c r="N230" t="s">
        <v>27</v>
      </c>
      <c r="O230" s="6" t="s">
        <v>130</v>
      </c>
    </row>
    <row r="231" spans="1:15" x14ac:dyDescent="0.3">
      <c r="A231" t="s">
        <v>577</v>
      </c>
      <c r="B231" t="s">
        <v>578</v>
      </c>
      <c r="C231" t="s">
        <v>130</v>
      </c>
      <c r="D231" t="s">
        <v>40</v>
      </c>
      <c r="E231" t="s">
        <v>31</v>
      </c>
      <c r="F231" s="2">
        <v>2020</v>
      </c>
      <c r="G231" t="s">
        <v>1325</v>
      </c>
      <c r="H231">
        <v>119</v>
      </c>
      <c r="I231">
        <v>6.4</v>
      </c>
      <c r="J231">
        <v>57905</v>
      </c>
      <c r="K231">
        <v>55.16</v>
      </c>
      <c r="L231" t="s">
        <v>101</v>
      </c>
      <c r="M231" t="s">
        <v>1328</v>
      </c>
      <c r="N231" t="s">
        <v>27</v>
      </c>
      <c r="O231" s="7" t="s">
        <v>19</v>
      </c>
    </row>
    <row r="232" spans="1:15" x14ac:dyDescent="0.3">
      <c r="A232" t="s">
        <v>579</v>
      </c>
      <c r="B232" t="s">
        <v>580</v>
      </c>
      <c r="C232" t="s">
        <v>30</v>
      </c>
      <c r="D232" t="s">
        <v>64</v>
      </c>
      <c r="E232" t="s">
        <v>41</v>
      </c>
      <c r="F232" s="2">
        <v>2016</v>
      </c>
      <c r="G232" t="s">
        <v>1314</v>
      </c>
      <c r="H232">
        <v>145</v>
      </c>
      <c r="I232">
        <v>7.9</v>
      </c>
      <c r="J232">
        <v>773539</v>
      </c>
      <c r="K232">
        <v>671.96</v>
      </c>
      <c r="L232" t="s">
        <v>66</v>
      </c>
      <c r="M232" t="s">
        <v>1342</v>
      </c>
      <c r="N232" t="s">
        <v>123</v>
      </c>
      <c r="O232" s="6" t="s">
        <v>130</v>
      </c>
    </row>
    <row r="233" spans="1:15" x14ac:dyDescent="0.3">
      <c r="A233" t="s">
        <v>581</v>
      </c>
      <c r="B233" t="s">
        <v>582</v>
      </c>
      <c r="C233" t="s">
        <v>48</v>
      </c>
      <c r="D233" t="s">
        <v>20</v>
      </c>
      <c r="E233" t="s">
        <v>49</v>
      </c>
      <c r="F233" s="2">
        <v>2020</v>
      </c>
      <c r="G233" t="s">
        <v>1340</v>
      </c>
      <c r="H233">
        <v>136</v>
      </c>
      <c r="I233">
        <v>7.4</v>
      </c>
      <c r="J233">
        <v>89174</v>
      </c>
      <c r="K233">
        <v>33.97</v>
      </c>
      <c r="L233" t="s">
        <v>101</v>
      </c>
      <c r="M233" t="s">
        <v>1335</v>
      </c>
      <c r="N233" t="s">
        <v>36</v>
      </c>
      <c r="O233" s="7" t="s">
        <v>19</v>
      </c>
    </row>
    <row r="234" spans="1:15" x14ac:dyDescent="0.3">
      <c r="A234" t="s">
        <v>583</v>
      </c>
      <c r="B234" t="s">
        <v>584</v>
      </c>
      <c r="C234" t="s">
        <v>63</v>
      </c>
      <c r="D234" t="s">
        <v>20</v>
      </c>
      <c r="E234" t="s">
        <v>31</v>
      </c>
      <c r="F234" s="2">
        <v>2021</v>
      </c>
      <c r="G234" t="s">
        <v>1327</v>
      </c>
      <c r="H234">
        <v>116</v>
      </c>
      <c r="I234">
        <v>7.4</v>
      </c>
      <c r="J234">
        <v>66696</v>
      </c>
      <c r="K234">
        <v>227.71</v>
      </c>
      <c r="L234" t="s">
        <v>109</v>
      </c>
      <c r="M234" t="s">
        <v>1317</v>
      </c>
      <c r="N234" t="s">
        <v>68</v>
      </c>
      <c r="O234" s="6" t="s">
        <v>30</v>
      </c>
    </row>
    <row r="235" spans="1:15" x14ac:dyDescent="0.3">
      <c r="A235" t="s">
        <v>585</v>
      </c>
      <c r="B235" t="s">
        <v>586</v>
      </c>
      <c r="C235" t="s">
        <v>39</v>
      </c>
      <c r="D235" t="s">
        <v>20</v>
      </c>
      <c r="E235" t="s">
        <v>31</v>
      </c>
      <c r="F235" s="2">
        <v>2020</v>
      </c>
      <c r="G235" t="s">
        <v>1332</v>
      </c>
      <c r="H235">
        <v>144</v>
      </c>
      <c r="I235">
        <v>7.8</v>
      </c>
      <c r="J235">
        <v>148520</v>
      </c>
      <c r="K235">
        <v>71.38</v>
      </c>
      <c r="L235" t="s">
        <v>119</v>
      </c>
      <c r="M235" t="s">
        <v>1315</v>
      </c>
      <c r="N235" t="s">
        <v>68</v>
      </c>
      <c r="O235" s="7" t="s">
        <v>130</v>
      </c>
    </row>
    <row r="236" spans="1:15" x14ac:dyDescent="0.3">
      <c r="A236" t="s">
        <v>587</v>
      </c>
      <c r="B236" t="s">
        <v>588</v>
      </c>
      <c r="C236" t="s">
        <v>19</v>
      </c>
      <c r="D236" t="s">
        <v>87</v>
      </c>
      <c r="E236" t="s">
        <v>41</v>
      </c>
      <c r="F236" s="2">
        <v>2025</v>
      </c>
      <c r="G236" t="s">
        <v>1340</v>
      </c>
      <c r="H236">
        <v>94</v>
      </c>
      <c r="I236">
        <v>6.8</v>
      </c>
      <c r="J236">
        <v>608584</v>
      </c>
      <c r="K236">
        <v>91.71</v>
      </c>
      <c r="L236" t="s">
        <v>101</v>
      </c>
      <c r="M236" t="s">
        <v>1317</v>
      </c>
      <c r="N236" t="s">
        <v>27</v>
      </c>
      <c r="O236" s="6" t="s">
        <v>30</v>
      </c>
    </row>
    <row r="237" spans="1:15" x14ac:dyDescent="0.3">
      <c r="A237" t="s">
        <v>589</v>
      </c>
      <c r="B237" t="s">
        <v>590</v>
      </c>
      <c r="C237" t="s">
        <v>39</v>
      </c>
      <c r="D237" t="s">
        <v>64</v>
      </c>
      <c r="E237" t="s">
        <v>192</v>
      </c>
      <c r="F237" s="2">
        <v>2024</v>
      </c>
      <c r="G237" t="s">
        <v>1329</v>
      </c>
      <c r="H237">
        <v>151</v>
      </c>
      <c r="I237">
        <v>6.6</v>
      </c>
      <c r="J237">
        <v>331670</v>
      </c>
      <c r="K237">
        <v>755.87</v>
      </c>
      <c r="L237" t="s">
        <v>101</v>
      </c>
      <c r="M237" t="s">
        <v>1321</v>
      </c>
      <c r="N237" t="s">
        <v>36</v>
      </c>
      <c r="O237" s="7" t="s">
        <v>48</v>
      </c>
    </row>
    <row r="238" spans="1:15" x14ac:dyDescent="0.3">
      <c r="A238" t="s">
        <v>591</v>
      </c>
      <c r="B238" t="s">
        <v>592</v>
      </c>
      <c r="C238" t="s">
        <v>19</v>
      </c>
      <c r="D238" t="s">
        <v>20</v>
      </c>
      <c r="E238" t="s">
        <v>88</v>
      </c>
      <c r="F238" s="2">
        <v>2021</v>
      </c>
      <c r="G238" t="s">
        <v>1326</v>
      </c>
      <c r="H238">
        <v>137</v>
      </c>
      <c r="I238">
        <v>6.9</v>
      </c>
      <c r="J238">
        <v>813417</v>
      </c>
      <c r="K238">
        <v>608.41999999999996</v>
      </c>
      <c r="L238" t="s">
        <v>24</v>
      </c>
      <c r="M238" t="s">
        <v>1330</v>
      </c>
      <c r="N238" t="s">
        <v>36</v>
      </c>
      <c r="O238" s="6" t="s">
        <v>63</v>
      </c>
    </row>
    <row r="239" spans="1:15" x14ac:dyDescent="0.3">
      <c r="A239" t="s">
        <v>593</v>
      </c>
      <c r="B239" t="s">
        <v>594</v>
      </c>
      <c r="C239" t="s">
        <v>116</v>
      </c>
      <c r="D239" t="s">
        <v>20</v>
      </c>
      <c r="E239" t="s">
        <v>31</v>
      </c>
      <c r="F239" s="2">
        <v>2022</v>
      </c>
      <c r="G239" t="s">
        <v>1334</v>
      </c>
      <c r="H239">
        <v>96</v>
      </c>
      <c r="I239">
        <v>6.7</v>
      </c>
      <c r="J239">
        <v>226972</v>
      </c>
      <c r="K239">
        <v>689.21</v>
      </c>
      <c r="L239" t="s">
        <v>52</v>
      </c>
      <c r="M239" t="s">
        <v>1321</v>
      </c>
      <c r="N239" t="s">
        <v>36</v>
      </c>
      <c r="O239" s="7" t="s">
        <v>39</v>
      </c>
    </row>
    <row r="240" spans="1:15" x14ac:dyDescent="0.3">
      <c r="A240" t="s">
        <v>595</v>
      </c>
      <c r="B240" t="s">
        <v>596</v>
      </c>
      <c r="C240" t="s">
        <v>39</v>
      </c>
      <c r="D240" t="s">
        <v>72</v>
      </c>
      <c r="E240" t="s">
        <v>192</v>
      </c>
      <c r="F240" s="2">
        <v>2020</v>
      </c>
      <c r="G240" t="s">
        <v>1329</v>
      </c>
      <c r="H240">
        <v>159</v>
      </c>
      <c r="I240">
        <v>8</v>
      </c>
      <c r="J240">
        <v>120270</v>
      </c>
      <c r="K240">
        <v>724.27</v>
      </c>
      <c r="L240" t="s">
        <v>119</v>
      </c>
      <c r="M240" t="s">
        <v>1341</v>
      </c>
      <c r="N240" t="s">
        <v>152</v>
      </c>
      <c r="O240" s="6" t="s">
        <v>19</v>
      </c>
    </row>
    <row r="241" spans="1:15" x14ac:dyDescent="0.3">
      <c r="A241" t="s">
        <v>597</v>
      </c>
      <c r="B241" t="s">
        <v>598</v>
      </c>
      <c r="C241" t="s">
        <v>130</v>
      </c>
      <c r="D241" t="s">
        <v>20</v>
      </c>
      <c r="E241" t="s">
        <v>41</v>
      </c>
      <c r="F241" s="2">
        <v>2022</v>
      </c>
      <c r="G241" t="s">
        <v>1326</v>
      </c>
      <c r="H241">
        <v>175</v>
      </c>
      <c r="I241">
        <v>6.3</v>
      </c>
      <c r="J241">
        <v>729005</v>
      </c>
      <c r="K241">
        <v>217.4</v>
      </c>
      <c r="L241" t="s">
        <v>101</v>
      </c>
      <c r="M241" t="s">
        <v>1324</v>
      </c>
      <c r="N241" t="s">
        <v>60</v>
      </c>
      <c r="O241" s="7" t="s">
        <v>39</v>
      </c>
    </row>
    <row r="242" spans="1:15" x14ac:dyDescent="0.3">
      <c r="A242" t="s">
        <v>599</v>
      </c>
      <c r="B242" t="s">
        <v>600</v>
      </c>
      <c r="C242" t="s">
        <v>130</v>
      </c>
      <c r="D242" t="s">
        <v>20</v>
      </c>
      <c r="E242" t="s">
        <v>41</v>
      </c>
      <c r="F242" s="2">
        <v>2020</v>
      </c>
      <c r="G242" t="s">
        <v>1316</v>
      </c>
      <c r="H242">
        <v>115</v>
      </c>
      <c r="I242">
        <v>7.5</v>
      </c>
      <c r="J242">
        <v>322509</v>
      </c>
      <c r="K242">
        <v>224.56</v>
      </c>
      <c r="L242" t="s">
        <v>24</v>
      </c>
      <c r="M242" t="s">
        <v>1342</v>
      </c>
      <c r="N242" t="s">
        <v>54</v>
      </c>
      <c r="O242" s="6" t="s">
        <v>19</v>
      </c>
    </row>
    <row r="243" spans="1:15" x14ac:dyDescent="0.3">
      <c r="A243" t="s">
        <v>603</v>
      </c>
      <c r="B243" t="s">
        <v>604</v>
      </c>
      <c r="C243" t="s">
        <v>39</v>
      </c>
      <c r="D243" t="s">
        <v>40</v>
      </c>
      <c r="E243" t="s">
        <v>41</v>
      </c>
      <c r="F243" s="2">
        <v>2016</v>
      </c>
      <c r="G243" t="s">
        <v>1319</v>
      </c>
      <c r="H243">
        <v>173</v>
      </c>
      <c r="I243">
        <v>7.4</v>
      </c>
      <c r="J243">
        <v>402477</v>
      </c>
      <c r="K243">
        <v>149.72999999999999</v>
      </c>
      <c r="L243" t="s">
        <v>34</v>
      </c>
      <c r="M243" t="s">
        <v>1324</v>
      </c>
      <c r="N243" t="s">
        <v>36</v>
      </c>
      <c r="O243" s="7" t="s">
        <v>116</v>
      </c>
    </row>
    <row r="244" spans="1:15" x14ac:dyDescent="0.3">
      <c r="A244" t="s">
        <v>605</v>
      </c>
      <c r="B244" t="s">
        <v>606</v>
      </c>
      <c r="C244" t="s">
        <v>104</v>
      </c>
      <c r="D244" t="s">
        <v>20</v>
      </c>
      <c r="E244" t="s">
        <v>88</v>
      </c>
      <c r="F244" s="2">
        <v>2021</v>
      </c>
      <c r="G244" t="s">
        <v>1327</v>
      </c>
      <c r="H244">
        <v>186</v>
      </c>
      <c r="I244">
        <v>6.8</v>
      </c>
      <c r="J244">
        <v>683335</v>
      </c>
      <c r="K244">
        <v>987.19</v>
      </c>
      <c r="L244" t="s">
        <v>109</v>
      </c>
      <c r="M244" t="s">
        <v>1321</v>
      </c>
      <c r="N244" t="s">
        <v>27</v>
      </c>
      <c r="O244" s="6" t="s">
        <v>39</v>
      </c>
    </row>
    <row r="245" spans="1:15" x14ac:dyDescent="0.3">
      <c r="A245" t="s">
        <v>607</v>
      </c>
      <c r="B245" t="s">
        <v>608</v>
      </c>
      <c r="C245" t="s">
        <v>39</v>
      </c>
      <c r="D245" t="s">
        <v>20</v>
      </c>
      <c r="E245" t="s">
        <v>49</v>
      </c>
      <c r="F245" s="2">
        <v>2019</v>
      </c>
      <c r="G245" t="s">
        <v>1322</v>
      </c>
      <c r="H245">
        <v>109</v>
      </c>
      <c r="I245">
        <v>7.5</v>
      </c>
      <c r="J245">
        <v>885569</v>
      </c>
      <c r="K245">
        <v>963.65</v>
      </c>
      <c r="L245" t="s">
        <v>133</v>
      </c>
      <c r="M245" t="s">
        <v>1320</v>
      </c>
      <c r="N245" t="s">
        <v>123</v>
      </c>
      <c r="O245" s="7" t="s">
        <v>130</v>
      </c>
    </row>
    <row r="246" spans="1:15" x14ac:dyDescent="0.3">
      <c r="A246" t="s">
        <v>609</v>
      </c>
      <c r="B246" t="s">
        <v>610</v>
      </c>
      <c r="C246" t="s">
        <v>63</v>
      </c>
      <c r="D246" t="s">
        <v>20</v>
      </c>
      <c r="E246" t="s">
        <v>41</v>
      </c>
      <c r="F246" s="2">
        <v>2024</v>
      </c>
      <c r="G246" t="s">
        <v>1327</v>
      </c>
      <c r="H246">
        <v>127</v>
      </c>
      <c r="I246">
        <v>5.5</v>
      </c>
      <c r="J246">
        <v>299184</v>
      </c>
      <c r="K246">
        <v>584.5</v>
      </c>
      <c r="L246" t="s">
        <v>66</v>
      </c>
      <c r="M246" t="s">
        <v>1330</v>
      </c>
      <c r="N246" t="s">
        <v>27</v>
      </c>
      <c r="O246" s="6" t="s">
        <v>130</v>
      </c>
    </row>
    <row r="247" spans="1:15" x14ac:dyDescent="0.3">
      <c r="A247" t="s">
        <v>611</v>
      </c>
      <c r="B247" t="s">
        <v>612</v>
      </c>
      <c r="C247" t="s">
        <v>19</v>
      </c>
      <c r="D247" t="s">
        <v>20</v>
      </c>
      <c r="E247" t="s">
        <v>88</v>
      </c>
      <c r="F247" s="2">
        <v>2024</v>
      </c>
      <c r="G247" t="s">
        <v>1332</v>
      </c>
      <c r="H247">
        <v>93</v>
      </c>
      <c r="I247">
        <v>6.8</v>
      </c>
      <c r="J247">
        <v>844330</v>
      </c>
      <c r="K247">
        <v>159.93</v>
      </c>
      <c r="L247" t="s">
        <v>34</v>
      </c>
      <c r="M247" t="s">
        <v>1342</v>
      </c>
      <c r="N247" t="s">
        <v>60</v>
      </c>
      <c r="O247" s="7" t="s">
        <v>39</v>
      </c>
    </row>
    <row r="248" spans="1:15" x14ac:dyDescent="0.3">
      <c r="A248" t="s">
        <v>613</v>
      </c>
      <c r="B248" t="s">
        <v>614</v>
      </c>
      <c r="C248" t="s">
        <v>48</v>
      </c>
      <c r="D248" t="s">
        <v>20</v>
      </c>
      <c r="E248" t="s">
        <v>49</v>
      </c>
      <c r="F248" s="2">
        <v>2025</v>
      </c>
      <c r="G248" t="s">
        <v>1334</v>
      </c>
      <c r="H248">
        <v>130</v>
      </c>
      <c r="I248">
        <v>8.1</v>
      </c>
      <c r="J248">
        <v>131609</v>
      </c>
      <c r="K248">
        <v>525.13</v>
      </c>
      <c r="L248" t="s">
        <v>89</v>
      </c>
      <c r="M248" t="s">
        <v>1336</v>
      </c>
      <c r="N248" t="s">
        <v>68</v>
      </c>
      <c r="O248" s="6" t="s">
        <v>39</v>
      </c>
    </row>
    <row r="249" spans="1:15" x14ac:dyDescent="0.3">
      <c r="A249" t="s">
        <v>615</v>
      </c>
      <c r="B249" t="s">
        <v>616</v>
      </c>
      <c r="C249" t="s">
        <v>104</v>
      </c>
      <c r="D249" t="s">
        <v>20</v>
      </c>
      <c r="E249" t="s">
        <v>82</v>
      </c>
      <c r="F249" s="2">
        <v>2018</v>
      </c>
      <c r="G249" t="s">
        <v>1316</v>
      </c>
      <c r="H249">
        <v>137</v>
      </c>
      <c r="I249">
        <v>7.5</v>
      </c>
      <c r="J249">
        <v>513111</v>
      </c>
      <c r="K249">
        <v>336.65</v>
      </c>
      <c r="L249" t="s">
        <v>145</v>
      </c>
      <c r="M249" t="s">
        <v>1323</v>
      </c>
      <c r="N249" t="s">
        <v>68</v>
      </c>
      <c r="O249" s="7" t="s">
        <v>104</v>
      </c>
    </row>
    <row r="250" spans="1:15" x14ac:dyDescent="0.3">
      <c r="A250" t="s">
        <v>617</v>
      </c>
      <c r="B250" t="s">
        <v>618</v>
      </c>
      <c r="C250" t="s">
        <v>130</v>
      </c>
      <c r="D250" t="s">
        <v>20</v>
      </c>
      <c r="E250" t="s">
        <v>49</v>
      </c>
      <c r="F250" s="2">
        <v>2018</v>
      </c>
      <c r="G250" t="s">
        <v>1314</v>
      </c>
      <c r="H250">
        <v>137</v>
      </c>
      <c r="I250">
        <v>7.6</v>
      </c>
      <c r="J250">
        <v>799668</v>
      </c>
      <c r="K250">
        <v>1038.8900000000001</v>
      </c>
      <c r="L250" t="s">
        <v>52</v>
      </c>
      <c r="M250" t="s">
        <v>1342</v>
      </c>
      <c r="N250" t="s">
        <v>68</v>
      </c>
      <c r="O250" s="6" t="s">
        <v>39</v>
      </c>
    </row>
    <row r="251" spans="1:15" x14ac:dyDescent="0.3">
      <c r="A251" t="s">
        <v>619</v>
      </c>
      <c r="B251" t="s">
        <v>620</v>
      </c>
      <c r="C251" t="s">
        <v>144</v>
      </c>
      <c r="D251" t="s">
        <v>20</v>
      </c>
      <c r="E251" t="s">
        <v>88</v>
      </c>
      <c r="F251" s="2">
        <v>2021</v>
      </c>
      <c r="G251" t="s">
        <v>1326</v>
      </c>
      <c r="H251">
        <v>87</v>
      </c>
      <c r="I251">
        <v>7.5</v>
      </c>
      <c r="J251">
        <v>923155</v>
      </c>
      <c r="K251">
        <v>103.44</v>
      </c>
      <c r="L251" t="s">
        <v>66</v>
      </c>
      <c r="M251" t="s">
        <v>1338</v>
      </c>
      <c r="N251" t="s">
        <v>54</v>
      </c>
      <c r="O251" s="7" t="s">
        <v>63</v>
      </c>
    </row>
    <row r="252" spans="1:15" x14ac:dyDescent="0.3">
      <c r="A252" t="s">
        <v>621</v>
      </c>
      <c r="B252" t="s">
        <v>622</v>
      </c>
      <c r="C252" t="s">
        <v>48</v>
      </c>
      <c r="D252" t="s">
        <v>20</v>
      </c>
      <c r="E252" t="s">
        <v>49</v>
      </c>
      <c r="F252" s="2">
        <v>2015</v>
      </c>
      <c r="G252" t="s">
        <v>1329</v>
      </c>
      <c r="H252">
        <v>102</v>
      </c>
      <c r="I252">
        <v>7.8</v>
      </c>
      <c r="J252">
        <v>439339</v>
      </c>
      <c r="K252">
        <v>137.91</v>
      </c>
      <c r="L252" t="s">
        <v>83</v>
      </c>
      <c r="M252" t="s">
        <v>1333</v>
      </c>
      <c r="N252" t="s">
        <v>36</v>
      </c>
      <c r="O252" s="6" t="s">
        <v>19</v>
      </c>
    </row>
    <row r="253" spans="1:15" x14ac:dyDescent="0.3">
      <c r="A253" t="s">
        <v>623</v>
      </c>
      <c r="B253" t="s">
        <v>624</v>
      </c>
      <c r="C253" t="s">
        <v>144</v>
      </c>
      <c r="D253" t="s">
        <v>20</v>
      </c>
      <c r="E253" t="s">
        <v>21</v>
      </c>
      <c r="F253" s="2">
        <v>2021</v>
      </c>
      <c r="G253" t="s">
        <v>1331</v>
      </c>
      <c r="H253">
        <v>181</v>
      </c>
      <c r="I253">
        <v>7.3</v>
      </c>
      <c r="J253">
        <v>687940</v>
      </c>
      <c r="K253">
        <v>25.65</v>
      </c>
      <c r="L253" t="s">
        <v>119</v>
      </c>
      <c r="M253" t="s">
        <v>1341</v>
      </c>
      <c r="N253" t="s">
        <v>36</v>
      </c>
      <c r="O253" s="7" t="s">
        <v>48</v>
      </c>
    </row>
    <row r="254" spans="1:15" x14ac:dyDescent="0.3">
      <c r="A254" t="s">
        <v>625</v>
      </c>
      <c r="B254" t="s">
        <v>626</v>
      </c>
      <c r="C254" t="s">
        <v>144</v>
      </c>
      <c r="D254" t="s">
        <v>20</v>
      </c>
      <c r="E254" t="s">
        <v>208</v>
      </c>
      <c r="F254" s="2">
        <v>2016</v>
      </c>
      <c r="G254" t="s">
        <v>1334</v>
      </c>
      <c r="H254">
        <v>167</v>
      </c>
      <c r="I254">
        <v>7.9</v>
      </c>
      <c r="J254">
        <v>181741</v>
      </c>
      <c r="K254">
        <v>64.89</v>
      </c>
      <c r="L254" t="s">
        <v>101</v>
      </c>
      <c r="M254" t="s">
        <v>1328</v>
      </c>
      <c r="N254" t="s">
        <v>36</v>
      </c>
      <c r="O254" s="6" t="s">
        <v>104</v>
      </c>
    </row>
    <row r="255" spans="1:15" x14ac:dyDescent="0.3">
      <c r="A255" t="s">
        <v>627</v>
      </c>
      <c r="B255" t="s">
        <v>628</v>
      </c>
      <c r="C255" t="s">
        <v>19</v>
      </c>
      <c r="D255" t="s">
        <v>20</v>
      </c>
      <c r="E255" t="s">
        <v>41</v>
      </c>
      <c r="F255" s="2">
        <v>2018</v>
      </c>
      <c r="G255" t="s">
        <v>1329</v>
      </c>
      <c r="H255">
        <v>89</v>
      </c>
      <c r="I255">
        <v>7.4</v>
      </c>
      <c r="J255">
        <v>472378</v>
      </c>
      <c r="K255">
        <v>441.83</v>
      </c>
      <c r="L255" t="s">
        <v>89</v>
      </c>
      <c r="M255" t="s">
        <v>1342</v>
      </c>
      <c r="N255" t="s">
        <v>36</v>
      </c>
      <c r="O255" s="7" t="s">
        <v>130</v>
      </c>
    </row>
    <row r="256" spans="1:15" x14ac:dyDescent="0.3">
      <c r="A256" t="s">
        <v>629</v>
      </c>
      <c r="B256" t="s">
        <v>630</v>
      </c>
      <c r="C256" t="s">
        <v>39</v>
      </c>
      <c r="D256" t="s">
        <v>20</v>
      </c>
      <c r="E256" t="s">
        <v>31</v>
      </c>
      <c r="F256" s="2">
        <v>2021</v>
      </c>
      <c r="G256" t="s">
        <v>1334</v>
      </c>
      <c r="H256">
        <v>89</v>
      </c>
      <c r="I256">
        <v>7.7</v>
      </c>
      <c r="J256">
        <v>477719</v>
      </c>
      <c r="K256">
        <v>59.39</v>
      </c>
      <c r="L256" t="s">
        <v>52</v>
      </c>
      <c r="M256" t="s">
        <v>1341</v>
      </c>
      <c r="N256" t="s">
        <v>68</v>
      </c>
      <c r="O256" s="6" t="s">
        <v>144</v>
      </c>
    </row>
    <row r="257" spans="1:15" x14ac:dyDescent="0.3">
      <c r="A257" t="s">
        <v>631</v>
      </c>
      <c r="B257" t="s">
        <v>632</v>
      </c>
      <c r="C257" t="s">
        <v>116</v>
      </c>
      <c r="D257" t="s">
        <v>57</v>
      </c>
      <c r="E257" t="s">
        <v>92</v>
      </c>
      <c r="F257" s="2">
        <v>2018</v>
      </c>
      <c r="G257" t="s">
        <v>1316</v>
      </c>
      <c r="H257">
        <v>124</v>
      </c>
      <c r="I257">
        <v>5.9</v>
      </c>
      <c r="J257">
        <v>419173</v>
      </c>
      <c r="K257">
        <v>1282.3599999999999</v>
      </c>
      <c r="L257" t="s">
        <v>66</v>
      </c>
      <c r="M257" t="s">
        <v>1328</v>
      </c>
      <c r="N257" t="s">
        <v>152</v>
      </c>
      <c r="O257" s="7" t="s">
        <v>48</v>
      </c>
    </row>
    <row r="258" spans="1:15" x14ac:dyDescent="0.3">
      <c r="A258" t="s">
        <v>633</v>
      </c>
      <c r="B258" t="s">
        <v>634</v>
      </c>
      <c r="C258" t="s">
        <v>19</v>
      </c>
      <c r="D258" t="s">
        <v>87</v>
      </c>
      <c r="E258" t="s">
        <v>88</v>
      </c>
      <c r="F258" s="2">
        <v>2022</v>
      </c>
      <c r="G258" t="s">
        <v>1332</v>
      </c>
      <c r="H258">
        <v>110</v>
      </c>
      <c r="I258">
        <v>7.5</v>
      </c>
      <c r="J258">
        <v>320815</v>
      </c>
      <c r="K258">
        <v>1364.01</v>
      </c>
      <c r="L258" t="s">
        <v>73</v>
      </c>
      <c r="M258" t="s">
        <v>1339</v>
      </c>
      <c r="N258" t="s">
        <v>54</v>
      </c>
      <c r="O258" s="6" t="s">
        <v>144</v>
      </c>
    </row>
    <row r="259" spans="1:15" x14ac:dyDescent="0.3">
      <c r="A259" t="s">
        <v>635</v>
      </c>
      <c r="B259" t="s">
        <v>636</v>
      </c>
      <c r="C259" t="s">
        <v>48</v>
      </c>
      <c r="D259" t="s">
        <v>20</v>
      </c>
      <c r="E259" t="s">
        <v>88</v>
      </c>
      <c r="F259" s="2">
        <v>2016</v>
      </c>
      <c r="G259" t="s">
        <v>1319</v>
      </c>
      <c r="H259">
        <v>155</v>
      </c>
      <c r="I259">
        <v>8.6999999999999993</v>
      </c>
      <c r="J259">
        <v>68879</v>
      </c>
      <c r="K259">
        <v>126.96</v>
      </c>
      <c r="L259" t="s">
        <v>34</v>
      </c>
      <c r="M259" t="s">
        <v>1328</v>
      </c>
      <c r="N259" t="s">
        <v>60</v>
      </c>
      <c r="O259" s="7" t="s">
        <v>144</v>
      </c>
    </row>
    <row r="260" spans="1:15" x14ac:dyDescent="0.3">
      <c r="A260" t="s">
        <v>637</v>
      </c>
      <c r="B260" t="s">
        <v>638</v>
      </c>
      <c r="C260" t="s">
        <v>86</v>
      </c>
      <c r="D260" t="s">
        <v>20</v>
      </c>
      <c r="E260" t="s">
        <v>82</v>
      </c>
      <c r="F260" s="2">
        <v>2025</v>
      </c>
      <c r="G260" t="s">
        <v>1322</v>
      </c>
      <c r="H260">
        <v>145</v>
      </c>
      <c r="I260">
        <v>6.1</v>
      </c>
      <c r="J260">
        <v>139541</v>
      </c>
      <c r="K260">
        <v>784.73</v>
      </c>
      <c r="L260" t="s">
        <v>179</v>
      </c>
      <c r="M260" t="s">
        <v>1318</v>
      </c>
      <c r="N260" t="s">
        <v>68</v>
      </c>
      <c r="O260" s="6" t="s">
        <v>19</v>
      </c>
    </row>
    <row r="261" spans="1:15" x14ac:dyDescent="0.3">
      <c r="A261" t="s">
        <v>639</v>
      </c>
      <c r="B261" t="s">
        <v>640</v>
      </c>
      <c r="C261" t="s">
        <v>71</v>
      </c>
      <c r="D261" t="s">
        <v>20</v>
      </c>
      <c r="E261" t="s">
        <v>49</v>
      </c>
      <c r="F261" s="2">
        <v>2015</v>
      </c>
      <c r="G261" t="s">
        <v>1340</v>
      </c>
      <c r="H261">
        <v>102</v>
      </c>
      <c r="I261">
        <v>6.2</v>
      </c>
      <c r="J261">
        <v>936190</v>
      </c>
      <c r="K261">
        <v>1473.33</v>
      </c>
      <c r="L261" t="s">
        <v>52</v>
      </c>
      <c r="M261" t="s">
        <v>1315</v>
      </c>
      <c r="N261" t="s">
        <v>68</v>
      </c>
      <c r="O261" s="7" t="s">
        <v>39</v>
      </c>
    </row>
    <row r="262" spans="1:15" x14ac:dyDescent="0.3">
      <c r="A262" t="s">
        <v>641</v>
      </c>
      <c r="B262" t="s">
        <v>642</v>
      </c>
      <c r="C262" t="s">
        <v>19</v>
      </c>
      <c r="D262" t="s">
        <v>20</v>
      </c>
      <c r="E262" t="s">
        <v>41</v>
      </c>
      <c r="F262" s="2">
        <v>2016</v>
      </c>
      <c r="G262" t="s">
        <v>1325</v>
      </c>
      <c r="H262">
        <v>157</v>
      </c>
      <c r="I262">
        <v>7.1</v>
      </c>
      <c r="J262">
        <v>474269</v>
      </c>
      <c r="K262">
        <v>455.92</v>
      </c>
      <c r="L262" t="s">
        <v>43</v>
      </c>
      <c r="M262" t="s">
        <v>1335</v>
      </c>
      <c r="N262" t="s">
        <v>152</v>
      </c>
      <c r="O262" s="6" t="s">
        <v>116</v>
      </c>
    </row>
    <row r="263" spans="1:15" x14ac:dyDescent="0.3">
      <c r="A263" t="s">
        <v>643</v>
      </c>
      <c r="B263" t="s">
        <v>644</v>
      </c>
      <c r="C263" t="s">
        <v>130</v>
      </c>
      <c r="D263" t="s">
        <v>72</v>
      </c>
      <c r="E263" t="s">
        <v>41</v>
      </c>
      <c r="F263" s="2">
        <v>2018</v>
      </c>
      <c r="G263" t="s">
        <v>1331</v>
      </c>
      <c r="H263">
        <v>117</v>
      </c>
      <c r="I263">
        <v>6.7</v>
      </c>
      <c r="J263">
        <v>692001</v>
      </c>
      <c r="K263">
        <v>293.25</v>
      </c>
      <c r="L263" t="s">
        <v>66</v>
      </c>
      <c r="M263" t="s">
        <v>1320</v>
      </c>
      <c r="N263" t="s">
        <v>68</v>
      </c>
      <c r="O263" s="7" t="s">
        <v>19</v>
      </c>
    </row>
    <row r="264" spans="1:15" x14ac:dyDescent="0.3">
      <c r="A264" t="s">
        <v>645</v>
      </c>
      <c r="B264" t="s">
        <v>646</v>
      </c>
      <c r="C264" t="s">
        <v>19</v>
      </c>
      <c r="D264" t="s">
        <v>20</v>
      </c>
      <c r="E264" t="s">
        <v>208</v>
      </c>
      <c r="F264" s="2">
        <v>2017</v>
      </c>
      <c r="G264" t="s">
        <v>1334</v>
      </c>
      <c r="H264">
        <v>92</v>
      </c>
      <c r="I264">
        <v>6.4</v>
      </c>
      <c r="J264">
        <v>346458</v>
      </c>
      <c r="K264">
        <v>597.37</v>
      </c>
      <c r="L264" t="s">
        <v>119</v>
      </c>
      <c r="M264" t="s">
        <v>1320</v>
      </c>
      <c r="N264" t="s">
        <v>60</v>
      </c>
      <c r="O264" s="6" t="s">
        <v>48</v>
      </c>
    </row>
    <row r="265" spans="1:15" x14ac:dyDescent="0.3">
      <c r="A265" t="s">
        <v>647</v>
      </c>
      <c r="B265" t="s">
        <v>648</v>
      </c>
      <c r="C265" t="s">
        <v>116</v>
      </c>
      <c r="D265" t="s">
        <v>20</v>
      </c>
      <c r="E265" t="s">
        <v>49</v>
      </c>
      <c r="F265" s="2">
        <v>2017</v>
      </c>
      <c r="G265" t="s">
        <v>1326</v>
      </c>
      <c r="H265">
        <v>125</v>
      </c>
      <c r="I265">
        <v>7.8</v>
      </c>
      <c r="J265">
        <v>908365</v>
      </c>
      <c r="K265">
        <v>78.680000000000007</v>
      </c>
      <c r="L265" t="s">
        <v>179</v>
      </c>
      <c r="M265" t="s">
        <v>1341</v>
      </c>
      <c r="N265" t="s">
        <v>60</v>
      </c>
      <c r="O265" s="7" t="s">
        <v>86</v>
      </c>
    </row>
    <row r="266" spans="1:15" x14ac:dyDescent="0.3">
      <c r="A266" t="s">
        <v>649</v>
      </c>
      <c r="B266" t="s">
        <v>650</v>
      </c>
      <c r="C266" t="s">
        <v>63</v>
      </c>
      <c r="D266" t="s">
        <v>87</v>
      </c>
      <c r="E266" t="s">
        <v>41</v>
      </c>
      <c r="F266" s="2">
        <v>2024</v>
      </c>
      <c r="G266" t="s">
        <v>1332</v>
      </c>
      <c r="H266">
        <v>126</v>
      </c>
      <c r="I266">
        <v>5.8</v>
      </c>
      <c r="J266">
        <v>395122</v>
      </c>
      <c r="K266">
        <v>433.73</v>
      </c>
      <c r="L266" t="s">
        <v>43</v>
      </c>
      <c r="M266" t="s">
        <v>1339</v>
      </c>
      <c r="N266" t="s">
        <v>60</v>
      </c>
      <c r="O266" s="6" t="s">
        <v>71</v>
      </c>
    </row>
    <row r="267" spans="1:15" x14ac:dyDescent="0.3">
      <c r="A267" t="s">
        <v>651</v>
      </c>
      <c r="B267" t="s">
        <v>652</v>
      </c>
      <c r="C267" t="s">
        <v>39</v>
      </c>
      <c r="D267" t="s">
        <v>40</v>
      </c>
      <c r="E267" t="s">
        <v>88</v>
      </c>
      <c r="F267" s="2">
        <v>2015</v>
      </c>
      <c r="G267" t="s">
        <v>1319</v>
      </c>
      <c r="H267">
        <v>168</v>
      </c>
      <c r="I267">
        <v>8.5</v>
      </c>
      <c r="J267">
        <v>216197</v>
      </c>
      <c r="K267">
        <v>503.31</v>
      </c>
      <c r="L267" t="s">
        <v>43</v>
      </c>
      <c r="M267" t="s">
        <v>1330</v>
      </c>
      <c r="N267" t="s">
        <v>123</v>
      </c>
      <c r="O267" s="7" t="s">
        <v>19</v>
      </c>
    </row>
    <row r="268" spans="1:15" x14ac:dyDescent="0.3">
      <c r="A268" t="s">
        <v>653</v>
      </c>
      <c r="B268" t="s">
        <v>654</v>
      </c>
      <c r="C268" t="s">
        <v>48</v>
      </c>
      <c r="D268" t="s">
        <v>20</v>
      </c>
      <c r="E268" t="s">
        <v>31</v>
      </c>
      <c r="F268" s="2">
        <v>2022</v>
      </c>
      <c r="G268" t="s">
        <v>1334</v>
      </c>
      <c r="H268">
        <v>150</v>
      </c>
      <c r="I268">
        <v>7.5</v>
      </c>
      <c r="J268">
        <v>813564</v>
      </c>
      <c r="K268">
        <v>1016.84</v>
      </c>
      <c r="L268" t="s">
        <v>52</v>
      </c>
      <c r="M268" t="s">
        <v>1321</v>
      </c>
      <c r="N268" t="s">
        <v>36</v>
      </c>
      <c r="O268" s="6" t="s">
        <v>130</v>
      </c>
    </row>
    <row r="269" spans="1:15" x14ac:dyDescent="0.3">
      <c r="A269" t="s">
        <v>655</v>
      </c>
      <c r="B269" t="s">
        <v>656</v>
      </c>
      <c r="C269" t="s">
        <v>130</v>
      </c>
      <c r="D269" t="s">
        <v>72</v>
      </c>
      <c r="E269" t="s">
        <v>41</v>
      </c>
      <c r="F269" s="2">
        <v>2025</v>
      </c>
      <c r="G269" t="s">
        <v>1314</v>
      </c>
      <c r="H269">
        <v>132</v>
      </c>
      <c r="I269">
        <v>6.9</v>
      </c>
      <c r="J269">
        <v>887782</v>
      </c>
      <c r="K269">
        <v>212.51</v>
      </c>
      <c r="L269" t="s">
        <v>52</v>
      </c>
      <c r="M269" t="s">
        <v>1333</v>
      </c>
      <c r="N269" t="s">
        <v>27</v>
      </c>
      <c r="O269" s="7" t="s">
        <v>19</v>
      </c>
    </row>
    <row r="270" spans="1:15" x14ac:dyDescent="0.3">
      <c r="A270" t="s">
        <v>657</v>
      </c>
      <c r="B270" t="s">
        <v>658</v>
      </c>
      <c r="C270" t="s">
        <v>63</v>
      </c>
      <c r="D270" t="s">
        <v>20</v>
      </c>
      <c r="E270" t="s">
        <v>31</v>
      </c>
      <c r="F270" s="2">
        <v>2016</v>
      </c>
      <c r="G270" t="s">
        <v>1332</v>
      </c>
      <c r="H270">
        <v>141</v>
      </c>
      <c r="I270">
        <v>8.1</v>
      </c>
      <c r="J270">
        <v>222459</v>
      </c>
      <c r="K270">
        <v>806.26</v>
      </c>
      <c r="L270" t="s">
        <v>52</v>
      </c>
      <c r="M270" t="s">
        <v>1328</v>
      </c>
      <c r="N270" t="s">
        <v>68</v>
      </c>
      <c r="O270" s="6" t="s">
        <v>116</v>
      </c>
    </row>
    <row r="271" spans="1:15" x14ac:dyDescent="0.3">
      <c r="A271" t="s">
        <v>659</v>
      </c>
      <c r="B271" t="s">
        <v>660</v>
      </c>
      <c r="C271" t="s">
        <v>19</v>
      </c>
      <c r="D271" t="s">
        <v>64</v>
      </c>
      <c r="E271" t="s">
        <v>88</v>
      </c>
      <c r="F271" s="2">
        <v>2022</v>
      </c>
      <c r="G271" t="s">
        <v>1325</v>
      </c>
      <c r="H271">
        <v>104</v>
      </c>
      <c r="I271">
        <v>6.1</v>
      </c>
      <c r="J271">
        <v>5302</v>
      </c>
      <c r="K271">
        <v>1081.8</v>
      </c>
      <c r="L271" t="s">
        <v>145</v>
      </c>
      <c r="M271" t="s">
        <v>1343</v>
      </c>
      <c r="N271" t="s">
        <v>54</v>
      </c>
      <c r="O271" s="7" t="s">
        <v>63</v>
      </c>
    </row>
    <row r="272" spans="1:15" x14ac:dyDescent="0.3">
      <c r="A272" t="s">
        <v>661</v>
      </c>
      <c r="B272" t="s">
        <v>662</v>
      </c>
      <c r="C272" t="s">
        <v>48</v>
      </c>
      <c r="D272" t="s">
        <v>20</v>
      </c>
      <c r="E272" t="s">
        <v>88</v>
      </c>
      <c r="F272" s="2">
        <v>2019</v>
      </c>
      <c r="G272" t="s">
        <v>1329</v>
      </c>
      <c r="H272">
        <v>126</v>
      </c>
      <c r="I272">
        <v>7.8</v>
      </c>
      <c r="J272">
        <v>452374</v>
      </c>
      <c r="K272">
        <v>152.54</v>
      </c>
      <c r="L272" t="s">
        <v>101</v>
      </c>
      <c r="M272" t="s">
        <v>1335</v>
      </c>
      <c r="N272" t="s">
        <v>152</v>
      </c>
      <c r="O272" s="6" t="s">
        <v>39</v>
      </c>
    </row>
    <row r="273" spans="1:15" x14ac:dyDescent="0.3">
      <c r="A273" t="s">
        <v>663</v>
      </c>
      <c r="B273" t="s">
        <v>664</v>
      </c>
      <c r="C273" t="s">
        <v>86</v>
      </c>
      <c r="D273" t="s">
        <v>87</v>
      </c>
      <c r="E273" t="s">
        <v>88</v>
      </c>
      <c r="F273" s="2">
        <v>2024</v>
      </c>
      <c r="G273" t="s">
        <v>1319</v>
      </c>
      <c r="H273">
        <v>169</v>
      </c>
      <c r="I273">
        <v>7</v>
      </c>
      <c r="J273">
        <v>27491</v>
      </c>
      <c r="K273">
        <v>1231.26</v>
      </c>
      <c r="L273" t="s">
        <v>66</v>
      </c>
      <c r="M273" t="s">
        <v>1315</v>
      </c>
      <c r="N273" t="s">
        <v>27</v>
      </c>
      <c r="O273" s="7" t="s">
        <v>48</v>
      </c>
    </row>
    <row r="274" spans="1:15" x14ac:dyDescent="0.3">
      <c r="A274" t="s">
        <v>665</v>
      </c>
      <c r="B274" t="s">
        <v>666</v>
      </c>
      <c r="C274" t="s">
        <v>130</v>
      </c>
      <c r="D274" t="s">
        <v>20</v>
      </c>
      <c r="E274" t="s">
        <v>49</v>
      </c>
      <c r="F274" s="2">
        <v>2016</v>
      </c>
      <c r="G274" t="s">
        <v>1332</v>
      </c>
      <c r="H274">
        <v>105</v>
      </c>
      <c r="I274">
        <v>7.3</v>
      </c>
      <c r="J274">
        <v>525003</v>
      </c>
      <c r="K274">
        <v>121.99</v>
      </c>
      <c r="L274" t="s">
        <v>73</v>
      </c>
      <c r="M274" t="s">
        <v>1324</v>
      </c>
      <c r="N274" t="s">
        <v>123</v>
      </c>
      <c r="O274" s="6" t="s">
        <v>130</v>
      </c>
    </row>
    <row r="275" spans="1:15" x14ac:dyDescent="0.3">
      <c r="A275" t="s">
        <v>667</v>
      </c>
      <c r="B275" t="s">
        <v>668</v>
      </c>
      <c r="C275" t="s">
        <v>30</v>
      </c>
      <c r="D275" t="s">
        <v>20</v>
      </c>
      <c r="E275" t="s">
        <v>31</v>
      </c>
      <c r="F275" s="2">
        <v>2021</v>
      </c>
      <c r="G275" t="s">
        <v>1331</v>
      </c>
      <c r="H275">
        <v>137</v>
      </c>
      <c r="I275">
        <v>7.2</v>
      </c>
      <c r="J275">
        <v>167544</v>
      </c>
      <c r="K275">
        <v>821.08</v>
      </c>
      <c r="L275" t="s">
        <v>179</v>
      </c>
      <c r="M275" t="s">
        <v>1315</v>
      </c>
      <c r="N275" t="s">
        <v>60</v>
      </c>
      <c r="O275" s="7" t="s">
        <v>63</v>
      </c>
    </row>
    <row r="276" spans="1:15" x14ac:dyDescent="0.3">
      <c r="A276" t="s">
        <v>669</v>
      </c>
      <c r="B276" t="s">
        <v>670</v>
      </c>
      <c r="C276" t="s">
        <v>39</v>
      </c>
      <c r="D276" t="s">
        <v>64</v>
      </c>
      <c r="E276" t="s">
        <v>88</v>
      </c>
      <c r="F276" s="2">
        <v>2016</v>
      </c>
      <c r="G276" t="s">
        <v>1334</v>
      </c>
      <c r="H276">
        <v>157</v>
      </c>
      <c r="I276">
        <v>7.4</v>
      </c>
      <c r="J276">
        <v>9686</v>
      </c>
      <c r="K276">
        <v>291.32</v>
      </c>
      <c r="L276" t="s">
        <v>24</v>
      </c>
      <c r="M276" t="s">
        <v>1339</v>
      </c>
      <c r="N276" t="s">
        <v>27</v>
      </c>
      <c r="O276" s="6" t="s">
        <v>19</v>
      </c>
    </row>
    <row r="277" spans="1:15" x14ac:dyDescent="0.3">
      <c r="A277" t="s">
        <v>671</v>
      </c>
      <c r="B277" t="s">
        <v>672</v>
      </c>
      <c r="C277" t="s">
        <v>116</v>
      </c>
      <c r="D277" t="s">
        <v>64</v>
      </c>
      <c r="E277" t="s">
        <v>41</v>
      </c>
      <c r="F277" s="2">
        <v>2021</v>
      </c>
      <c r="G277" t="s">
        <v>1325</v>
      </c>
      <c r="H277">
        <v>173</v>
      </c>
      <c r="I277">
        <v>7.6</v>
      </c>
      <c r="J277">
        <v>842163</v>
      </c>
      <c r="K277">
        <v>314.7</v>
      </c>
      <c r="L277" t="s">
        <v>43</v>
      </c>
      <c r="M277" t="s">
        <v>1342</v>
      </c>
      <c r="N277" t="s">
        <v>60</v>
      </c>
      <c r="O277" s="7" t="s">
        <v>48</v>
      </c>
    </row>
    <row r="278" spans="1:15" x14ac:dyDescent="0.3">
      <c r="A278" t="s">
        <v>673</v>
      </c>
      <c r="B278" t="s">
        <v>674</v>
      </c>
      <c r="C278" t="s">
        <v>19</v>
      </c>
      <c r="D278" t="s">
        <v>64</v>
      </c>
      <c r="E278" t="s">
        <v>88</v>
      </c>
      <c r="F278" s="2">
        <v>2019</v>
      </c>
      <c r="G278" t="s">
        <v>1319</v>
      </c>
      <c r="H278">
        <v>108</v>
      </c>
      <c r="I278">
        <v>6.7</v>
      </c>
      <c r="J278">
        <v>791862</v>
      </c>
      <c r="K278">
        <v>326.95</v>
      </c>
      <c r="L278" t="s">
        <v>140</v>
      </c>
      <c r="M278" t="s">
        <v>1330</v>
      </c>
      <c r="N278" t="s">
        <v>152</v>
      </c>
      <c r="O278" s="6" t="s">
        <v>86</v>
      </c>
    </row>
    <row r="279" spans="1:15" x14ac:dyDescent="0.3">
      <c r="A279" t="s">
        <v>675</v>
      </c>
      <c r="B279" t="s">
        <v>676</v>
      </c>
      <c r="C279" t="s">
        <v>30</v>
      </c>
      <c r="D279" t="s">
        <v>20</v>
      </c>
      <c r="E279" t="s">
        <v>139</v>
      </c>
      <c r="F279" s="2">
        <v>2025</v>
      </c>
      <c r="G279" t="s">
        <v>1316</v>
      </c>
      <c r="H279">
        <v>91</v>
      </c>
      <c r="I279">
        <v>8.1999999999999993</v>
      </c>
      <c r="J279">
        <v>6347</v>
      </c>
      <c r="K279">
        <v>1272.51</v>
      </c>
      <c r="L279" t="s">
        <v>66</v>
      </c>
      <c r="M279" t="s">
        <v>1315</v>
      </c>
      <c r="N279" t="s">
        <v>152</v>
      </c>
      <c r="O279" s="7" t="s">
        <v>130</v>
      </c>
    </row>
    <row r="280" spans="1:15" x14ac:dyDescent="0.3">
      <c r="A280" t="s">
        <v>677</v>
      </c>
      <c r="B280" t="s">
        <v>678</v>
      </c>
      <c r="C280" t="s">
        <v>63</v>
      </c>
      <c r="D280" t="s">
        <v>20</v>
      </c>
      <c r="E280" t="s">
        <v>21</v>
      </c>
      <c r="F280" s="2">
        <v>2023</v>
      </c>
      <c r="G280" t="s">
        <v>1316</v>
      </c>
      <c r="H280">
        <v>120</v>
      </c>
      <c r="I280">
        <v>6.1</v>
      </c>
      <c r="J280">
        <v>729249</v>
      </c>
      <c r="K280">
        <v>766.52</v>
      </c>
      <c r="L280" t="s">
        <v>34</v>
      </c>
      <c r="M280" t="s">
        <v>1317</v>
      </c>
      <c r="N280" t="s">
        <v>123</v>
      </c>
      <c r="O280" s="6" t="s">
        <v>30</v>
      </c>
    </row>
    <row r="281" spans="1:15" x14ac:dyDescent="0.3">
      <c r="A281" t="s">
        <v>679</v>
      </c>
      <c r="B281" t="s">
        <v>680</v>
      </c>
      <c r="C281" t="s">
        <v>39</v>
      </c>
      <c r="D281" t="s">
        <v>20</v>
      </c>
      <c r="E281" t="s">
        <v>41</v>
      </c>
      <c r="F281" s="2">
        <v>2023</v>
      </c>
      <c r="G281" t="s">
        <v>1322</v>
      </c>
      <c r="H281">
        <v>130</v>
      </c>
      <c r="I281">
        <v>7.3</v>
      </c>
      <c r="J281">
        <v>911001</v>
      </c>
      <c r="K281">
        <v>773.84</v>
      </c>
      <c r="L281" t="s">
        <v>24</v>
      </c>
      <c r="M281" t="s">
        <v>1335</v>
      </c>
      <c r="N281" t="s">
        <v>36</v>
      </c>
      <c r="O281" s="7" t="s">
        <v>39</v>
      </c>
    </row>
    <row r="282" spans="1:15" x14ac:dyDescent="0.3">
      <c r="A282" t="s">
        <v>681</v>
      </c>
      <c r="B282" t="s">
        <v>682</v>
      </c>
      <c r="C282" t="s">
        <v>19</v>
      </c>
      <c r="D282" t="s">
        <v>20</v>
      </c>
      <c r="E282" t="s">
        <v>88</v>
      </c>
      <c r="F282" s="2">
        <v>2023</v>
      </c>
      <c r="G282" t="s">
        <v>1334</v>
      </c>
      <c r="H282">
        <v>173</v>
      </c>
      <c r="I282">
        <v>6.4</v>
      </c>
      <c r="J282">
        <v>798530</v>
      </c>
      <c r="K282">
        <v>359.05</v>
      </c>
      <c r="L282" t="s">
        <v>145</v>
      </c>
      <c r="M282" t="s">
        <v>1335</v>
      </c>
      <c r="N282" t="s">
        <v>68</v>
      </c>
      <c r="O282" s="6" t="s">
        <v>116</v>
      </c>
    </row>
    <row r="283" spans="1:15" x14ac:dyDescent="0.3">
      <c r="A283" t="s">
        <v>683</v>
      </c>
      <c r="B283" t="s">
        <v>684</v>
      </c>
      <c r="C283" t="s">
        <v>63</v>
      </c>
      <c r="D283" t="s">
        <v>72</v>
      </c>
      <c r="E283" t="s">
        <v>31</v>
      </c>
      <c r="F283" s="2">
        <v>2024</v>
      </c>
      <c r="G283" t="s">
        <v>1316</v>
      </c>
      <c r="H283">
        <v>160</v>
      </c>
      <c r="I283">
        <v>7.2</v>
      </c>
      <c r="J283">
        <v>949954</v>
      </c>
      <c r="K283">
        <v>678.42</v>
      </c>
      <c r="L283" t="s">
        <v>43</v>
      </c>
      <c r="M283" t="s">
        <v>1315</v>
      </c>
      <c r="N283" t="s">
        <v>123</v>
      </c>
      <c r="O283" s="7" t="s">
        <v>19</v>
      </c>
    </row>
    <row r="284" spans="1:15" x14ac:dyDescent="0.3">
      <c r="A284" t="s">
        <v>685</v>
      </c>
      <c r="B284" t="s">
        <v>686</v>
      </c>
      <c r="C284" t="s">
        <v>130</v>
      </c>
      <c r="D284" t="s">
        <v>20</v>
      </c>
      <c r="E284" t="s">
        <v>41</v>
      </c>
      <c r="F284" s="2">
        <v>2016</v>
      </c>
      <c r="G284" t="s">
        <v>1332</v>
      </c>
      <c r="H284">
        <v>166</v>
      </c>
      <c r="I284">
        <v>7.1</v>
      </c>
      <c r="J284">
        <v>833778</v>
      </c>
      <c r="K284">
        <v>112.87</v>
      </c>
      <c r="L284" t="s">
        <v>73</v>
      </c>
      <c r="M284" t="s">
        <v>1320</v>
      </c>
      <c r="N284" t="s">
        <v>68</v>
      </c>
      <c r="O284" s="6" t="s">
        <v>30</v>
      </c>
    </row>
    <row r="285" spans="1:15" x14ac:dyDescent="0.3">
      <c r="A285" t="s">
        <v>687</v>
      </c>
      <c r="B285" t="s">
        <v>688</v>
      </c>
      <c r="C285" t="s">
        <v>19</v>
      </c>
      <c r="D285" t="s">
        <v>20</v>
      </c>
      <c r="E285" t="s">
        <v>21</v>
      </c>
      <c r="F285" s="2">
        <v>2017</v>
      </c>
      <c r="G285" t="s">
        <v>1332</v>
      </c>
      <c r="H285">
        <v>156</v>
      </c>
      <c r="I285">
        <v>5.9</v>
      </c>
      <c r="J285">
        <v>881564</v>
      </c>
      <c r="K285">
        <v>288.22000000000003</v>
      </c>
      <c r="L285" t="s">
        <v>133</v>
      </c>
      <c r="M285" t="s">
        <v>1317</v>
      </c>
      <c r="N285" t="s">
        <v>123</v>
      </c>
      <c r="O285" s="7" t="s">
        <v>63</v>
      </c>
    </row>
    <row r="286" spans="1:15" x14ac:dyDescent="0.3">
      <c r="A286" t="s">
        <v>689</v>
      </c>
      <c r="B286" t="s">
        <v>690</v>
      </c>
      <c r="C286" t="s">
        <v>19</v>
      </c>
      <c r="D286" t="s">
        <v>64</v>
      </c>
      <c r="E286" t="s">
        <v>208</v>
      </c>
      <c r="F286" s="2">
        <v>2016</v>
      </c>
      <c r="G286" t="s">
        <v>1322</v>
      </c>
      <c r="H286">
        <v>144</v>
      </c>
      <c r="I286">
        <v>7.1</v>
      </c>
      <c r="J286">
        <v>53897</v>
      </c>
      <c r="K286">
        <v>202.8</v>
      </c>
      <c r="L286" t="s">
        <v>89</v>
      </c>
      <c r="M286" t="s">
        <v>1317</v>
      </c>
      <c r="N286" t="s">
        <v>123</v>
      </c>
      <c r="O286" s="6" t="s">
        <v>39</v>
      </c>
    </row>
    <row r="287" spans="1:15" x14ac:dyDescent="0.3">
      <c r="A287" t="s">
        <v>691</v>
      </c>
      <c r="B287" t="s">
        <v>692</v>
      </c>
      <c r="C287" t="s">
        <v>39</v>
      </c>
      <c r="D287" t="s">
        <v>20</v>
      </c>
      <c r="E287" t="s">
        <v>82</v>
      </c>
      <c r="F287" s="2">
        <v>2023</v>
      </c>
      <c r="G287" t="s">
        <v>1325</v>
      </c>
      <c r="H287">
        <v>94</v>
      </c>
      <c r="I287">
        <v>5.9</v>
      </c>
      <c r="J287">
        <v>415612</v>
      </c>
      <c r="K287">
        <v>450.09</v>
      </c>
      <c r="L287" t="s">
        <v>133</v>
      </c>
      <c r="M287" t="s">
        <v>1333</v>
      </c>
      <c r="N287" t="s">
        <v>68</v>
      </c>
      <c r="O287" s="7" t="s">
        <v>19</v>
      </c>
    </row>
    <row r="288" spans="1:15" x14ac:dyDescent="0.3">
      <c r="A288" t="s">
        <v>693</v>
      </c>
      <c r="B288" t="s">
        <v>694</v>
      </c>
      <c r="C288" t="s">
        <v>19</v>
      </c>
      <c r="D288" t="s">
        <v>64</v>
      </c>
      <c r="E288" t="s">
        <v>82</v>
      </c>
      <c r="F288" s="2">
        <v>2025</v>
      </c>
      <c r="G288" t="s">
        <v>1329</v>
      </c>
      <c r="H288">
        <v>115</v>
      </c>
      <c r="I288">
        <v>7.2</v>
      </c>
      <c r="J288">
        <v>526400</v>
      </c>
      <c r="K288">
        <v>85.59</v>
      </c>
      <c r="L288" t="s">
        <v>66</v>
      </c>
      <c r="M288" t="s">
        <v>1341</v>
      </c>
      <c r="N288" t="s">
        <v>60</v>
      </c>
      <c r="O288" s="6" t="s">
        <v>63</v>
      </c>
    </row>
    <row r="289" spans="1:15" x14ac:dyDescent="0.3">
      <c r="A289" t="s">
        <v>695</v>
      </c>
      <c r="B289" t="s">
        <v>696</v>
      </c>
      <c r="C289" t="s">
        <v>48</v>
      </c>
      <c r="D289" t="s">
        <v>57</v>
      </c>
      <c r="E289" t="s">
        <v>208</v>
      </c>
      <c r="F289" s="2">
        <v>2022</v>
      </c>
      <c r="G289" t="s">
        <v>1325</v>
      </c>
      <c r="H289">
        <v>140</v>
      </c>
      <c r="I289">
        <v>7.8</v>
      </c>
      <c r="J289">
        <v>624066</v>
      </c>
      <c r="K289">
        <v>105.44</v>
      </c>
      <c r="L289" t="s">
        <v>89</v>
      </c>
      <c r="M289" t="s">
        <v>1336</v>
      </c>
      <c r="N289" t="s">
        <v>27</v>
      </c>
      <c r="O289" s="7" t="s">
        <v>130</v>
      </c>
    </row>
    <row r="290" spans="1:15" x14ac:dyDescent="0.3">
      <c r="A290" t="s">
        <v>697</v>
      </c>
      <c r="B290" t="s">
        <v>698</v>
      </c>
      <c r="C290" t="s">
        <v>39</v>
      </c>
      <c r="D290" t="s">
        <v>20</v>
      </c>
      <c r="E290" t="s">
        <v>92</v>
      </c>
      <c r="F290" s="2">
        <v>2017</v>
      </c>
      <c r="G290" t="s">
        <v>1329</v>
      </c>
      <c r="H290">
        <v>179</v>
      </c>
      <c r="I290">
        <v>6.6</v>
      </c>
      <c r="J290">
        <v>10951</v>
      </c>
      <c r="K290">
        <v>656.74</v>
      </c>
      <c r="L290" t="s">
        <v>34</v>
      </c>
      <c r="M290" t="s">
        <v>1337</v>
      </c>
      <c r="N290" t="s">
        <v>27</v>
      </c>
      <c r="O290" s="6" t="s">
        <v>19</v>
      </c>
    </row>
    <row r="291" spans="1:15" x14ac:dyDescent="0.3">
      <c r="A291" t="s">
        <v>699</v>
      </c>
      <c r="B291" t="s">
        <v>700</v>
      </c>
      <c r="C291" t="s">
        <v>39</v>
      </c>
      <c r="D291" t="s">
        <v>81</v>
      </c>
      <c r="E291" t="s">
        <v>82</v>
      </c>
      <c r="F291" s="2">
        <v>2015</v>
      </c>
      <c r="G291" t="s">
        <v>1327</v>
      </c>
      <c r="H291">
        <v>103</v>
      </c>
      <c r="I291">
        <v>7.6</v>
      </c>
      <c r="J291">
        <v>887750</v>
      </c>
      <c r="K291">
        <v>497.28</v>
      </c>
      <c r="L291" t="s">
        <v>34</v>
      </c>
      <c r="M291" t="s">
        <v>1333</v>
      </c>
      <c r="N291" t="s">
        <v>68</v>
      </c>
      <c r="O291" s="7" t="s">
        <v>19</v>
      </c>
    </row>
    <row r="292" spans="1:15" x14ac:dyDescent="0.3">
      <c r="A292" t="s">
        <v>701</v>
      </c>
      <c r="B292" t="s">
        <v>702</v>
      </c>
      <c r="C292" t="s">
        <v>130</v>
      </c>
      <c r="D292" t="s">
        <v>72</v>
      </c>
      <c r="E292" t="s">
        <v>41</v>
      </c>
      <c r="F292" s="2">
        <v>2017</v>
      </c>
      <c r="G292" t="s">
        <v>1332</v>
      </c>
      <c r="H292">
        <v>156</v>
      </c>
      <c r="I292">
        <v>6.9</v>
      </c>
      <c r="J292">
        <v>361349</v>
      </c>
      <c r="K292">
        <v>147.19999999999999</v>
      </c>
      <c r="L292" t="s">
        <v>101</v>
      </c>
      <c r="M292" t="s">
        <v>1343</v>
      </c>
      <c r="N292" t="s">
        <v>152</v>
      </c>
      <c r="O292" s="6" t="s">
        <v>39</v>
      </c>
    </row>
    <row r="293" spans="1:15" x14ac:dyDescent="0.3">
      <c r="A293" t="s">
        <v>703</v>
      </c>
      <c r="B293" t="s">
        <v>704</v>
      </c>
      <c r="C293" t="s">
        <v>144</v>
      </c>
      <c r="D293" t="s">
        <v>171</v>
      </c>
      <c r="E293" t="s">
        <v>88</v>
      </c>
      <c r="F293" s="2">
        <v>2015</v>
      </c>
      <c r="G293" t="s">
        <v>1331</v>
      </c>
      <c r="H293">
        <v>146</v>
      </c>
      <c r="I293">
        <v>8.5</v>
      </c>
      <c r="J293">
        <v>179594</v>
      </c>
      <c r="K293">
        <v>743.47</v>
      </c>
      <c r="L293" t="s">
        <v>133</v>
      </c>
      <c r="M293" t="s">
        <v>1337</v>
      </c>
      <c r="N293" t="s">
        <v>60</v>
      </c>
      <c r="O293" s="7" t="s">
        <v>19</v>
      </c>
    </row>
    <row r="294" spans="1:15" x14ac:dyDescent="0.3">
      <c r="A294" t="s">
        <v>705</v>
      </c>
      <c r="B294" t="s">
        <v>706</v>
      </c>
      <c r="C294" t="s">
        <v>39</v>
      </c>
      <c r="D294" t="s">
        <v>64</v>
      </c>
      <c r="E294" t="s">
        <v>41</v>
      </c>
      <c r="F294" s="2">
        <v>2018</v>
      </c>
      <c r="G294" t="s">
        <v>1331</v>
      </c>
      <c r="H294">
        <v>178</v>
      </c>
      <c r="I294">
        <v>6.2</v>
      </c>
      <c r="J294">
        <v>899601</v>
      </c>
      <c r="K294">
        <v>290.26</v>
      </c>
      <c r="L294" t="s">
        <v>109</v>
      </c>
      <c r="M294" t="s">
        <v>1324</v>
      </c>
      <c r="N294" t="s">
        <v>152</v>
      </c>
      <c r="O294" s="6" t="s">
        <v>48</v>
      </c>
    </row>
    <row r="295" spans="1:15" x14ac:dyDescent="0.3">
      <c r="A295" t="s">
        <v>707</v>
      </c>
      <c r="B295" t="s">
        <v>708</v>
      </c>
      <c r="C295" t="s">
        <v>39</v>
      </c>
      <c r="D295" t="s">
        <v>211</v>
      </c>
      <c r="E295" t="s">
        <v>41</v>
      </c>
      <c r="F295" s="2">
        <v>2017</v>
      </c>
      <c r="G295" t="s">
        <v>1322</v>
      </c>
      <c r="H295">
        <v>145</v>
      </c>
      <c r="I295">
        <v>7.4</v>
      </c>
      <c r="J295">
        <v>403033</v>
      </c>
      <c r="K295">
        <v>56.1</v>
      </c>
      <c r="L295" t="s">
        <v>24</v>
      </c>
      <c r="M295" t="s">
        <v>1321</v>
      </c>
      <c r="N295" t="s">
        <v>54</v>
      </c>
      <c r="O295" s="7" t="s">
        <v>39</v>
      </c>
    </row>
    <row r="296" spans="1:15" x14ac:dyDescent="0.3">
      <c r="A296" t="s">
        <v>709</v>
      </c>
      <c r="B296" t="s">
        <v>710</v>
      </c>
      <c r="C296" t="s">
        <v>39</v>
      </c>
      <c r="D296" t="s">
        <v>64</v>
      </c>
      <c r="E296" t="s">
        <v>41</v>
      </c>
      <c r="F296" s="2">
        <v>2016</v>
      </c>
      <c r="G296" t="s">
        <v>1314</v>
      </c>
      <c r="H296">
        <v>93</v>
      </c>
      <c r="I296">
        <v>8</v>
      </c>
      <c r="J296">
        <v>353418</v>
      </c>
      <c r="K296">
        <v>1258.28</v>
      </c>
      <c r="L296" t="s">
        <v>140</v>
      </c>
      <c r="M296" t="s">
        <v>1343</v>
      </c>
      <c r="N296" t="s">
        <v>36</v>
      </c>
      <c r="O296" s="6" t="s">
        <v>39</v>
      </c>
    </row>
    <row r="297" spans="1:15" x14ac:dyDescent="0.3">
      <c r="A297" t="s">
        <v>711</v>
      </c>
      <c r="B297" t="s">
        <v>712</v>
      </c>
      <c r="C297" t="s">
        <v>144</v>
      </c>
      <c r="D297" t="s">
        <v>20</v>
      </c>
      <c r="E297" t="s">
        <v>192</v>
      </c>
      <c r="F297" s="2">
        <v>2024</v>
      </c>
      <c r="G297" t="s">
        <v>1340</v>
      </c>
      <c r="H297">
        <v>156</v>
      </c>
      <c r="I297">
        <v>7.2</v>
      </c>
      <c r="J297">
        <v>860759</v>
      </c>
      <c r="K297">
        <v>233.06</v>
      </c>
      <c r="L297" t="s">
        <v>73</v>
      </c>
      <c r="M297" t="s">
        <v>1324</v>
      </c>
      <c r="N297" t="s">
        <v>36</v>
      </c>
      <c r="O297" s="7" t="s">
        <v>130</v>
      </c>
    </row>
    <row r="298" spans="1:15" x14ac:dyDescent="0.3">
      <c r="A298" t="s">
        <v>713</v>
      </c>
      <c r="B298" t="s">
        <v>714</v>
      </c>
      <c r="C298" t="s">
        <v>144</v>
      </c>
      <c r="D298" t="s">
        <v>20</v>
      </c>
      <c r="E298" t="s">
        <v>82</v>
      </c>
      <c r="F298" s="2">
        <v>2016</v>
      </c>
      <c r="G298" t="s">
        <v>1329</v>
      </c>
      <c r="H298">
        <v>164</v>
      </c>
      <c r="I298">
        <v>6.8</v>
      </c>
      <c r="J298">
        <v>163616</v>
      </c>
      <c r="K298">
        <v>161.32</v>
      </c>
      <c r="L298" t="s">
        <v>140</v>
      </c>
      <c r="M298" t="s">
        <v>1337</v>
      </c>
      <c r="N298" t="s">
        <v>123</v>
      </c>
      <c r="O298" s="6" t="s">
        <v>144</v>
      </c>
    </row>
    <row r="299" spans="1:15" x14ac:dyDescent="0.3">
      <c r="A299" t="s">
        <v>715</v>
      </c>
      <c r="B299" t="s">
        <v>716</v>
      </c>
      <c r="C299" t="s">
        <v>39</v>
      </c>
      <c r="D299" t="s">
        <v>40</v>
      </c>
      <c r="E299" t="s">
        <v>192</v>
      </c>
      <c r="F299" s="2">
        <v>2017</v>
      </c>
      <c r="G299" t="s">
        <v>1314</v>
      </c>
      <c r="H299">
        <v>93</v>
      </c>
      <c r="I299">
        <v>7.9</v>
      </c>
      <c r="J299">
        <v>516407</v>
      </c>
      <c r="K299">
        <v>525.17999999999995</v>
      </c>
      <c r="L299" t="s">
        <v>133</v>
      </c>
      <c r="M299" t="s">
        <v>1323</v>
      </c>
      <c r="N299" t="s">
        <v>36</v>
      </c>
      <c r="O299" s="7" t="s">
        <v>39</v>
      </c>
    </row>
    <row r="300" spans="1:15" x14ac:dyDescent="0.3">
      <c r="A300" t="s">
        <v>717</v>
      </c>
      <c r="B300" t="s">
        <v>718</v>
      </c>
      <c r="C300" t="s">
        <v>30</v>
      </c>
      <c r="D300" t="s">
        <v>57</v>
      </c>
      <c r="E300" t="s">
        <v>88</v>
      </c>
      <c r="F300" s="2">
        <v>2021</v>
      </c>
      <c r="G300" t="s">
        <v>1319</v>
      </c>
      <c r="H300">
        <v>121</v>
      </c>
      <c r="I300">
        <v>6.1</v>
      </c>
      <c r="J300">
        <v>162421</v>
      </c>
      <c r="K300">
        <v>130.47</v>
      </c>
      <c r="L300" t="s">
        <v>24</v>
      </c>
      <c r="M300" t="s">
        <v>1343</v>
      </c>
      <c r="N300" t="s">
        <v>36</v>
      </c>
      <c r="O300" s="6" t="s">
        <v>39</v>
      </c>
    </row>
    <row r="301" spans="1:15" x14ac:dyDescent="0.3">
      <c r="A301" t="s">
        <v>721</v>
      </c>
      <c r="B301" t="s">
        <v>722</v>
      </c>
      <c r="C301" t="s">
        <v>19</v>
      </c>
      <c r="D301" t="s">
        <v>20</v>
      </c>
      <c r="E301" t="s">
        <v>82</v>
      </c>
      <c r="F301" s="2">
        <v>2020</v>
      </c>
      <c r="G301" t="s">
        <v>1332</v>
      </c>
      <c r="H301">
        <v>124</v>
      </c>
      <c r="I301">
        <v>8</v>
      </c>
      <c r="J301">
        <v>479164</v>
      </c>
      <c r="K301">
        <v>383.12</v>
      </c>
      <c r="L301" t="s">
        <v>101</v>
      </c>
      <c r="M301" t="s">
        <v>1315</v>
      </c>
      <c r="N301" t="s">
        <v>152</v>
      </c>
      <c r="O301" s="7" t="s">
        <v>39</v>
      </c>
    </row>
    <row r="302" spans="1:15" x14ac:dyDescent="0.3">
      <c r="A302" t="s">
        <v>723</v>
      </c>
      <c r="B302" t="s">
        <v>724</v>
      </c>
      <c r="C302" t="s">
        <v>39</v>
      </c>
      <c r="D302" t="s">
        <v>64</v>
      </c>
      <c r="E302" t="s">
        <v>82</v>
      </c>
      <c r="F302" s="2">
        <v>2015</v>
      </c>
      <c r="G302" t="s">
        <v>1322</v>
      </c>
      <c r="H302">
        <v>173</v>
      </c>
      <c r="I302">
        <v>7.8</v>
      </c>
      <c r="J302">
        <v>130398</v>
      </c>
      <c r="K302">
        <v>547.95000000000005</v>
      </c>
      <c r="L302" t="s">
        <v>179</v>
      </c>
      <c r="M302" t="s">
        <v>1317</v>
      </c>
      <c r="N302" t="s">
        <v>27</v>
      </c>
      <c r="O302" s="6" t="s">
        <v>144</v>
      </c>
    </row>
    <row r="303" spans="1:15" x14ac:dyDescent="0.3">
      <c r="A303" t="s">
        <v>725</v>
      </c>
      <c r="B303" t="s">
        <v>726</v>
      </c>
      <c r="C303" t="s">
        <v>63</v>
      </c>
      <c r="D303" t="s">
        <v>20</v>
      </c>
      <c r="E303" t="s">
        <v>31</v>
      </c>
      <c r="F303" s="2">
        <v>2024</v>
      </c>
      <c r="G303" t="s">
        <v>1322</v>
      </c>
      <c r="H303">
        <v>173</v>
      </c>
      <c r="I303">
        <v>6.8</v>
      </c>
      <c r="J303">
        <v>871006</v>
      </c>
      <c r="K303">
        <v>228.09</v>
      </c>
      <c r="L303" t="s">
        <v>133</v>
      </c>
      <c r="M303" t="s">
        <v>1335</v>
      </c>
      <c r="N303" t="s">
        <v>27</v>
      </c>
      <c r="O303" s="7" t="s">
        <v>144</v>
      </c>
    </row>
    <row r="304" spans="1:15" x14ac:dyDescent="0.3">
      <c r="A304" t="s">
        <v>727</v>
      </c>
      <c r="B304" t="s">
        <v>728</v>
      </c>
      <c r="C304" t="s">
        <v>71</v>
      </c>
      <c r="D304" t="s">
        <v>64</v>
      </c>
      <c r="E304" t="s">
        <v>82</v>
      </c>
      <c r="F304" s="2">
        <v>2025</v>
      </c>
      <c r="G304" t="s">
        <v>1314</v>
      </c>
      <c r="H304">
        <v>171</v>
      </c>
      <c r="I304">
        <v>8.6</v>
      </c>
      <c r="J304">
        <v>395459</v>
      </c>
      <c r="K304">
        <v>662.73</v>
      </c>
      <c r="L304" t="s">
        <v>119</v>
      </c>
      <c r="M304" t="s">
        <v>1317</v>
      </c>
      <c r="N304" t="s">
        <v>27</v>
      </c>
      <c r="O304" s="6" t="s">
        <v>39</v>
      </c>
    </row>
    <row r="305" spans="1:15" x14ac:dyDescent="0.3">
      <c r="A305" t="s">
        <v>729</v>
      </c>
      <c r="B305" t="s">
        <v>730</v>
      </c>
      <c r="C305" t="s">
        <v>86</v>
      </c>
      <c r="D305" t="s">
        <v>72</v>
      </c>
      <c r="E305" t="s">
        <v>82</v>
      </c>
      <c r="F305" s="2">
        <v>2021</v>
      </c>
      <c r="G305" t="s">
        <v>1326</v>
      </c>
      <c r="H305">
        <v>90</v>
      </c>
      <c r="I305">
        <v>6.6</v>
      </c>
      <c r="J305">
        <v>835594</v>
      </c>
      <c r="K305">
        <v>259.45999999999998</v>
      </c>
      <c r="L305" t="s">
        <v>179</v>
      </c>
      <c r="M305" t="s">
        <v>1337</v>
      </c>
      <c r="N305" t="s">
        <v>54</v>
      </c>
      <c r="O305" s="7" t="s">
        <v>30</v>
      </c>
    </row>
    <row r="306" spans="1:15" x14ac:dyDescent="0.3">
      <c r="A306" t="s">
        <v>731</v>
      </c>
      <c r="B306" t="s">
        <v>732</v>
      </c>
      <c r="C306" t="s">
        <v>19</v>
      </c>
      <c r="D306" t="s">
        <v>20</v>
      </c>
      <c r="E306" t="s">
        <v>41</v>
      </c>
      <c r="F306" s="2">
        <v>2023</v>
      </c>
      <c r="G306" t="s">
        <v>1316</v>
      </c>
      <c r="H306">
        <v>163</v>
      </c>
      <c r="I306">
        <v>8.5</v>
      </c>
      <c r="J306">
        <v>826020</v>
      </c>
      <c r="K306">
        <v>475.89</v>
      </c>
      <c r="L306" t="s">
        <v>109</v>
      </c>
      <c r="M306" t="s">
        <v>1343</v>
      </c>
      <c r="N306" t="s">
        <v>36</v>
      </c>
      <c r="O306" s="6" t="s">
        <v>19</v>
      </c>
    </row>
    <row r="307" spans="1:15" x14ac:dyDescent="0.3">
      <c r="A307" t="s">
        <v>733</v>
      </c>
      <c r="B307" t="s">
        <v>734</v>
      </c>
      <c r="C307" t="s">
        <v>39</v>
      </c>
      <c r="D307" t="s">
        <v>64</v>
      </c>
      <c r="E307" t="s">
        <v>139</v>
      </c>
      <c r="F307" s="2">
        <v>2016</v>
      </c>
      <c r="G307" t="s">
        <v>1319</v>
      </c>
      <c r="H307">
        <v>102</v>
      </c>
      <c r="I307">
        <v>7.2</v>
      </c>
      <c r="J307">
        <v>901582</v>
      </c>
      <c r="K307">
        <v>109.59</v>
      </c>
      <c r="L307" t="s">
        <v>140</v>
      </c>
      <c r="M307" t="s">
        <v>1339</v>
      </c>
      <c r="N307" t="s">
        <v>123</v>
      </c>
      <c r="O307" s="7" t="s">
        <v>19</v>
      </c>
    </row>
    <row r="308" spans="1:15" x14ac:dyDescent="0.3">
      <c r="A308" t="s">
        <v>735</v>
      </c>
      <c r="B308" t="s">
        <v>736</v>
      </c>
      <c r="C308" t="s">
        <v>39</v>
      </c>
      <c r="D308" t="s">
        <v>40</v>
      </c>
      <c r="E308" t="s">
        <v>88</v>
      </c>
      <c r="F308" s="2">
        <v>2023</v>
      </c>
      <c r="G308" t="s">
        <v>1314</v>
      </c>
      <c r="H308">
        <v>108</v>
      </c>
      <c r="I308">
        <v>8.1999999999999993</v>
      </c>
      <c r="J308">
        <v>933366</v>
      </c>
      <c r="K308">
        <v>695.91</v>
      </c>
      <c r="L308" t="s">
        <v>101</v>
      </c>
      <c r="M308" t="s">
        <v>1320</v>
      </c>
      <c r="N308" t="s">
        <v>68</v>
      </c>
      <c r="O308" s="6" t="s">
        <v>39</v>
      </c>
    </row>
    <row r="309" spans="1:15" x14ac:dyDescent="0.3">
      <c r="A309" t="s">
        <v>737</v>
      </c>
      <c r="B309" t="s">
        <v>738</v>
      </c>
      <c r="C309" t="s">
        <v>71</v>
      </c>
      <c r="D309" t="s">
        <v>87</v>
      </c>
      <c r="E309" t="s">
        <v>82</v>
      </c>
      <c r="F309" s="2">
        <v>2016</v>
      </c>
      <c r="G309" t="s">
        <v>1331</v>
      </c>
      <c r="H309">
        <v>101</v>
      </c>
      <c r="I309">
        <v>7.1</v>
      </c>
      <c r="J309">
        <v>783009</v>
      </c>
      <c r="K309">
        <v>46.04</v>
      </c>
      <c r="L309" t="s">
        <v>66</v>
      </c>
      <c r="M309" t="s">
        <v>1328</v>
      </c>
      <c r="N309" t="s">
        <v>36</v>
      </c>
      <c r="O309" s="7" t="s">
        <v>63</v>
      </c>
    </row>
    <row r="310" spans="1:15" x14ac:dyDescent="0.3">
      <c r="A310" t="s">
        <v>739</v>
      </c>
      <c r="B310" t="s">
        <v>740</v>
      </c>
      <c r="C310" t="s">
        <v>144</v>
      </c>
      <c r="D310" t="s">
        <v>20</v>
      </c>
      <c r="E310" t="s">
        <v>41</v>
      </c>
      <c r="F310" s="2">
        <v>2016</v>
      </c>
      <c r="G310" t="s">
        <v>1327</v>
      </c>
      <c r="H310">
        <v>178</v>
      </c>
      <c r="I310">
        <v>7.6</v>
      </c>
      <c r="J310">
        <v>478250</v>
      </c>
      <c r="K310">
        <v>843.27</v>
      </c>
      <c r="L310" t="s">
        <v>89</v>
      </c>
      <c r="M310" t="s">
        <v>1342</v>
      </c>
      <c r="N310" t="s">
        <v>123</v>
      </c>
      <c r="O310" s="6" t="s">
        <v>71</v>
      </c>
    </row>
    <row r="311" spans="1:15" x14ac:dyDescent="0.3">
      <c r="A311" t="s">
        <v>741</v>
      </c>
      <c r="B311" t="s">
        <v>742</v>
      </c>
      <c r="C311" t="s">
        <v>39</v>
      </c>
      <c r="D311" t="s">
        <v>20</v>
      </c>
      <c r="E311" t="s">
        <v>49</v>
      </c>
      <c r="F311" s="2">
        <v>2017</v>
      </c>
      <c r="G311" t="s">
        <v>1329</v>
      </c>
      <c r="H311">
        <v>86</v>
      </c>
      <c r="I311">
        <v>8.6</v>
      </c>
      <c r="J311">
        <v>889936</v>
      </c>
      <c r="K311">
        <v>97.42</v>
      </c>
      <c r="L311" t="s">
        <v>24</v>
      </c>
      <c r="M311" t="s">
        <v>1323</v>
      </c>
      <c r="N311" t="s">
        <v>54</v>
      </c>
      <c r="O311" s="7" t="s">
        <v>86</v>
      </c>
    </row>
    <row r="312" spans="1:15" x14ac:dyDescent="0.3">
      <c r="A312" t="s">
        <v>743</v>
      </c>
      <c r="B312" t="s">
        <v>744</v>
      </c>
      <c r="C312" t="s">
        <v>39</v>
      </c>
      <c r="D312" t="s">
        <v>20</v>
      </c>
      <c r="E312" t="s">
        <v>41</v>
      </c>
      <c r="F312" s="2">
        <v>2020</v>
      </c>
      <c r="G312" t="s">
        <v>1327</v>
      </c>
      <c r="H312">
        <v>189</v>
      </c>
      <c r="I312">
        <v>7.7</v>
      </c>
      <c r="J312">
        <v>326298</v>
      </c>
      <c r="K312">
        <v>123.16</v>
      </c>
      <c r="L312" t="s">
        <v>73</v>
      </c>
      <c r="M312" t="s">
        <v>1337</v>
      </c>
      <c r="N312" t="s">
        <v>60</v>
      </c>
      <c r="O312" s="6" t="s">
        <v>19</v>
      </c>
    </row>
    <row r="313" spans="1:15" x14ac:dyDescent="0.3">
      <c r="A313" t="s">
        <v>745</v>
      </c>
      <c r="B313" t="s">
        <v>746</v>
      </c>
      <c r="C313" t="s">
        <v>19</v>
      </c>
      <c r="D313" t="s">
        <v>87</v>
      </c>
      <c r="E313" t="s">
        <v>41</v>
      </c>
      <c r="F313" s="2">
        <v>2021</v>
      </c>
      <c r="G313" t="s">
        <v>1322</v>
      </c>
      <c r="H313">
        <v>127</v>
      </c>
      <c r="I313">
        <v>7.2</v>
      </c>
      <c r="J313">
        <v>9056</v>
      </c>
      <c r="K313">
        <v>177.92</v>
      </c>
      <c r="L313" t="s">
        <v>109</v>
      </c>
      <c r="M313" t="s">
        <v>1323</v>
      </c>
      <c r="N313" t="s">
        <v>60</v>
      </c>
      <c r="O313" s="7" t="s">
        <v>39</v>
      </c>
    </row>
    <row r="314" spans="1:15" x14ac:dyDescent="0.3">
      <c r="A314" t="s">
        <v>747</v>
      </c>
      <c r="B314" t="s">
        <v>748</v>
      </c>
      <c r="C314" t="s">
        <v>71</v>
      </c>
      <c r="D314" t="s">
        <v>72</v>
      </c>
      <c r="E314" t="s">
        <v>88</v>
      </c>
      <c r="F314" s="2">
        <v>2015</v>
      </c>
      <c r="G314" t="s">
        <v>1334</v>
      </c>
      <c r="H314">
        <v>115</v>
      </c>
      <c r="I314">
        <v>8</v>
      </c>
      <c r="J314">
        <v>202024</v>
      </c>
      <c r="K314">
        <v>135.53</v>
      </c>
      <c r="L314" t="s">
        <v>83</v>
      </c>
      <c r="M314" t="s">
        <v>1324</v>
      </c>
      <c r="N314" t="s">
        <v>60</v>
      </c>
      <c r="O314" s="6" t="s">
        <v>39</v>
      </c>
    </row>
    <row r="315" spans="1:15" x14ac:dyDescent="0.3">
      <c r="A315" t="s">
        <v>749</v>
      </c>
      <c r="B315" t="s">
        <v>750</v>
      </c>
      <c r="C315" t="s">
        <v>86</v>
      </c>
      <c r="D315" t="s">
        <v>87</v>
      </c>
      <c r="E315" t="s">
        <v>49</v>
      </c>
      <c r="F315" s="2">
        <v>2016</v>
      </c>
      <c r="G315" t="s">
        <v>1331</v>
      </c>
      <c r="H315">
        <v>180</v>
      </c>
      <c r="I315">
        <v>8.1999999999999993</v>
      </c>
      <c r="J315">
        <v>380132</v>
      </c>
      <c r="K315">
        <v>670.5</v>
      </c>
      <c r="L315" t="s">
        <v>145</v>
      </c>
      <c r="M315" t="s">
        <v>1323</v>
      </c>
      <c r="N315" t="s">
        <v>54</v>
      </c>
      <c r="O315" s="7" t="s">
        <v>71</v>
      </c>
    </row>
    <row r="316" spans="1:15" x14ac:dyDescent="0.3">
      <c r="A316" t="s">
        <v>751</v>
      </c>
      <c r="B316" t="s">
        <v>752</v>
      </c>
      <c r="C316" t="s">
        <v>86</v>
      </c>
      <c r="D316" t="s">
        <v>81</v>
      </c>
      <c r="E316" t="s">
        <v>31</v>
      </c>
      <c r="F316" s="2">
        <v>2025</v>
      </c>
      <c r="G316" t="s">
        <v>1327</v>
      </c>
      <c r="H316">
        <v>166</v>
      </c>
      <c r="I316">
        <v>7.9</v>
      </c>
      <c r="J316">
        <v>317669</v>
      </c>
      <c r="K316">
        <v>257.83999999999997</v>
      </c>
      <c r="L316" t="s">
        <v>73</v>
      </c>
      <c r="M316" t="s">
        <v>1343</v>
      </c>
      <c r="N316" t="s">
        <v>152</v>
      </c>
      <c r="O316" s="6" t="s">
        <v>144</v>
      </c>
    </row>
    <row r="317" spans="1:15" x14ac:dyDescent="0.3">
      <c r="A317" t="s">
        <v>753</v>
      </c>
      <c r="B317" t="s">
        <v>754</v>
      </c>
      <c r="C317" t="s">
        <v>48</v>
      </c>
      <c r="D317" t="s">
        <v>57</v>
      </c>
      <c r="E317" t="s">
        <v>41</v>
      </c>
      <c r="F317" s="2">
        <v>2019</v>
      </c>
      <c r="G317" t="s">
        <v>1332</v>
      </c>
      <c r="H317">
        <v>170</v>
      </c>
      <c r="I317">
        <v>7.8</v>
      </c>
      <c r="J317">
        <v>751781</v>
      </c>
      <c r="K317">
        <v>206.16</v>
      </c>
      <c r="L317" t="s">
        <v>145</v>
      </c>
      <c r="M317" t="s">
        <v>1343</v>
      </c>
      <c r="N317" t="s">
        <v>54</v>
      </c>
      <c r="O317" s="7" t="s">
        <v>39</v>
      </c>
    </row>
    <row r="318" spans="1:15" x14ac:dyDescent="0.3">
      <c r="A318" t="s">
        <v>755</v>
      </c>
      <c r="B318" t="s">
        <v>756</v>
      </c>
      <c r="C318" t="s">
        <v>112</v>
      </c>
      <c r="D318" t="s">
        <v>20</v>
      </c>
      <c r="E318" t="s">
        <v>31</v>
      </c>
      <c r="F318" s="2">
        <v>2016</v>
      </c>
      <c r="G318" t="s">
        <v>1325</v>
      </c>
      <c r="H318">
        <v>162</v>
      </c>
      <c r="I318">
        <v>6.9</v>
      </c>
      <c r="J318">
        <v>313253</v>
      </c>
      <c r="K318">
        <v>1483.36</v>
      </c>
      <c r="L318" t="s">
        <v>66</v>
      </c>
      <c r="M318" t="s">
        <v>1324</v>
      </c>
      <c r="N318" t="s">
        <v>27</v>
      </c>
      <c r="O318" s="6" t="s">
        <v>39</v>
      </c>
    </row>
    <row r="319" spans="1:15" x14ac:dyDescent="0.3">
      <c r="A319" t="s">
        <v>757</v>
      </c>
      <c r="B319" t="s">
        <v>758</v>
      </c>
      <c r="C319" t="s">
        <v>144</v>
      </c>
      <c r="D319" t="s">
        <v>20</v>
      </c>
      <c r="E319" t="s">
        <v>88</v>
      </c>
      <c r="F319" s="2">
        <v>2015</v>
      </c>
      <c r="G319" t="s">
        <v>1326</v>
      </c>
      <c r="H319">
        <v>141</v>
      </c>
      <c r="I319">
        <v>7.1</v>
      </c>
      <c r="J319">
        <v>245947</v>
      </c>
      <c r="K319">
        <v>88.8</v>
      </c>
      <c r="L319" t="s">
        <v>140</v>
      </c>
      <c r="M319" t="s">
        <v>1328</v>
      </c>
      <c r="N319" t="s">
        <v>60</v>
      </c>
      <c r="O319" s="7" t="s">
        <v>19</v>
      </c>
    </row>
    <row r="320" spans="1:15" x14ac:dyDescent="0.3">
      <c r="A320" t="s">
        <v>759</v>
      </c>
      <c r="B320" t="s">
        <v>760</v>
      </c>
      <c r="C320" t="s">
        <v>130</v>
      </c>
      <c r="D320" t="s">
        <v>40</v>
      </c>
      <c r="E320" t="s">
        <v>49</v>
      </c>
      <c r="F320" s="2">
        <v>2022</v>
      </c>
      <c r="G320" t="s">
        <v>1334</v>
      </c>
      <c r="H320">
        <v>135</v>
      </c>
      <c r="I320">
        <v>6.3</v>
      </c>
      <c r="J320">
        <v>667075</v>
      </c>
      <c r="K320">
        <v>1238.6199999999999</v>
      </c>
      <c r="L320" t="s">
        <v>34</v>
      </c>
      <c r="M320" t="s">
        <v>1323</v>
      </c>
      <c r="N320" t="s">
        <v>27</v>
      </c>
      <c r="O320" s="6" t="s">
        <v>71</v>
      </c>
    </row>
    <row r="321" spans="1:15" x14ac:dyDescent="0.3">
      <c r="A321" t="s">
        <v>761</v>
      </c>
      <c r="B321" t="s">
        <v>762</v>
      </c>
      <c r="C321" t="s">
        <v>116</v>
      </c>
      <c r="D321" t="s">
        <v>64</v>
      </c>
      <c r="E321" t="s">
        <v>41</v>
      </c>
      <c r="F321" s="2">
        <v>2023</v>
      </c>
      <c r="G321" t="s">
        <v>1325</v>
      </c>
      <c r="H321">
        <v>144</v>
      </c>
      <c r="I321">
        <v>6.7</v>
      </c>
      <c r="J321">
        <v>749101</v>
      </c>
      <c r="K321">
        <v>166.64</v>
      </c>
      <c r="L321" t="s">
        <v>140</v>
      </c>
      <c r="M321" t="s">
        <v>1321</v>
      </c>
      <c r="N321" t="s">
        <v>152</v>
      </c>
      <c r="O321" s="7" t="s">
        <v>86</v>
      </c>
    </row>
    <row r="322" spans="1:15" x14ac:dyDescent="0.3">
      <c r="A322" t="s">
        <v>763</v>
      </c>
      <c r="B322" t="s">
        <v>764</v>
      </c>
      <c r="C322" t="s">
        <v>104</v>
      </c>
      <c r="D322" t="s">
        <v>20</v>
      </c>
      <c r="E322" t="s">
        <v>92</v>
      </c>
      <c r="F322" s="2">
        <v>2022</v>
      </c>
      <c r="G322" t="s">
        <v>1331</v>
      </c>
      <c r="H322">
        <v>115</v>
      </c>
      <c r="I322">
        <v>8.1</v>
      </c>
      <c r="J322">
        <v>500197</v>
      </c>
      <c r="K322">
        <v>262.25</v>
      </c>
      <c r="L322" t="s">
        <v>101</v>
      </c>
      <c r="M322" t="s">
        <v>1328</v>
      </c>
      <c r="N322" t="s">
        <v>123</v>
      </c>
      <c r="O322" s="6" t="s">
        <v>86</v>
      </c>
    </row>
    <row r="323" spans="1:15" x14ac:dyDescent="0.3">
      <c r="A323" t="s">
        <v>765</v>
      </c>
      <c r="B323" t="s">
        <v>766</v>
      </c>
      <c r="C323" t="s">
        <v>19</v>
      </c>
      <c r="D323" t="s">
        <v>87</v>
      </c>
      <c r="E323" t="s">
        <v>41</v>
      </c>
      <c r="F323" s="2">
        <v>2024</v>
      </c>
      <c r="G323" t="s">
        <v>1325</v>
      </c>
      <c r="H323">
        <v>163</v>
      </c>
      <c r="I323">
        <v>7</v>
      </c>
      <c r="J323">
        <v>792445</v>
      </c>
      <c r="K323">
        <v>236.29</v>
      </c>
      <c r="L323" t="s">
        <v>133</v>
      </c>
      <c r="M323" t="s">
        <v>1324</v>
      </c>
      <c r="N323" t="s">
        <v>60</v>
      </c>
      <c r="O323" s="7" t="s">
        <v>48</v>
      </c>
    </row>
    <row r="324" spans="1:15" x14ac:dyDescent="0.3">
      <c r="A324" t="s">
        <v>767</v>
      </c>
      <c r="B324" t="s">
        <v>768</v>
      </c>
      <c r="C324" t="s">
        <v>116</v>
      </c>
      <c r="D324" t="s">
        <v>72</v>
      </c>
      <c r="E324" t="s">
        <v>82</v>
      </c>
      <c r="F324" s="2">
        <v>2020</v>
      </c>
      <c r="G324" t="s">
        <v>1329</v>
      </c>
      <c r="H324">
        <v>132</v>
      </c>
      <c r="I324">
        <v>8.1</v>
      </c>
      <c r="J324">
        <v>690424</v>
      </c>
      <c r="K324">
        <v>201.55</v>
      </c>
      <c r="L324" t="s">
        <v>109</v>
      </c>
      <c r="M324" t="s">
        <v>1324</v>
      </c>
      <c r="N324" t="s">
        <v>36</v>
      </c>
      <c r="O324" s="6" t="s">
        <v>112</v>
      </c>
    </row>
    <row r="325" spans="1:15" x14ac:dyDescent="0.3">
      <c r="A325" t="s">
        <v>769</v>
      </c>
      <c r="B325" t="s">
        <v>770</v>
      </c>
      <c r="C325" t="s">
        <v>130</v>
      </c>
      <c r="D325" t="s">
        <v>20</v>
      </c>
      <c r="E325" t="s">
        <v>41</v>
      </c>
      <c r="F325" s="2">
        <v>2023</v>
      </c>
      <c r="G325" t="s">
        <v>1334</v>
      </c>
      <c r="H325">
        <v>87</v>
      </c>
      <c r="I325">
        <v>7.3</v>
      </c>
      <c r="J325">
        <v>219179</v>
      </c>
      <c r="K325">
        <v>438.84</v>
      </c>
      <c r="L325" t="s">
        <v>43</v>
      </c>
      <c r="M325" t="s">
        <v>1330</v>
      </c>
      <c r="N325" t="s">
        <v>68</v>
      </c>
      <c r="O325" s="7" t="s">
        <v>144</v>
      </c>
    </row>
    <row r="326" spans="1:15" x14ac:dyDescent="0.3">
      <c r="A326" t="s">
        <v>771</v>
      </c>
      <c r="B326" t="s">
        <v>772</v>
      </c>
      <c r="C326" t="s">
        <v>19</v>
      </c>
      <c r="D326" t="s">
        <v>20</v>
      </c>
      <c r="E326" t="s">
        <v>31</v>
      </c>
      <c r="F326" s="2">
        <v>2023</v>
      </c>
      <c r="G326" t="s">
        <v>1332</v>
      </c>
      <c r="H326">
        <v>184</v>
      </c>
      <c r="I326">
        <v>6.7</v>
      </c>
      <c r="J326">
        <v>367146</v>
      </c>
      <c r="K326">
        <v>643.09</v>
      </c>
      <c r="L326" t="s">
        <v>179</v>
      </c>
      <c r="M326" t="s">
        <v>1342</v>
      </c>
      <c r="N326" t="s">
        <v>54</v>
      </c>
      <c r="O326" s="6" t="s">
        <v>130</v>
      </c>
    </row>
    <row r="327" spans="1:15" x14ac:dyDescent="0.3">
      <c r="A327" t="s">
        <v>773</v>
      </c>
      <c r="B327" t="s">
        <v>774</v>
      </c>
      <c r="C327" t="s">
        <v>130</v>
      </c>
      <c r="D327" t="s">
        <v>20</v>
      </c>
      <c r="E327" t="s">
        <v>192</v>
      </c>
      <c r="F327" s="2">
        <v>2020</v>
      </c>
      <c r="G327" t="s">
        <v>1322</v>
      </c>
      <c r="H327">
        <v>180</v>
      </c>
      <c r="I327">
        <v>7.1</v>
      </c>
      <c r="J327">
        <v>74959</v>
      </c>
      <c r="K327">
        <v>665.78</v>
      </c>
      <c r="L327" t="s">
        <v>109</v>
      </c>
      <c r="M327" t="s">
        <v>1318</v>
      </c>
      <c r="N327" t="s">
        <v>36</v>
      </c>
      <c r="O327" s="7" t="s">
        <v>116</v>
      </c>
    </row>
    <row r="328" spans="1:15" x14ac:dyDescent="0.3">
      <c r="A328" t="s">
        <v>775</v>
      </c>
      <c r="B328" t="s">
        <v>776</v>
      </c>
      <c r="C328" t="s">
        <v>144</v>
      </c>
      <c r="D328" t="s">
        <v>20</v>
      </c>
      <c r="E328" t="s">
        <v>82</v>
      </c>
      <c r="F328" s="2">
        <v>2024</v>
      </c>
      <c r="G328" t="s">
        <v>1327</v>
      </c>
      <c r="H328">
        <v>187</v>
      </c>
      <c r="I328">
        <v>8.1999999999999993</v>
      </c>
      <c r="J328">
        <v>915136</v>
      </c>
      <c r="K328">
        <v>439.35</v>
      </c>
      <c r="L328" t="s">
        <v>89</v>
      </c>
      <c r="M328" t="s">
        <v>1342</v>
      </c>
      <c r="N328" t="s">
        <v>123</v>
      </c>
      <c r="O328" s="6" t="s">
        <v>104</v>
      </c>
    </row>
    <row r="329" spans="1:15" x14ac:dyDescent="0.3">
      <c r="A329" t="s">
        <v>777</v>
      </c>
      <c r="B329" t="s">
        <v>778</v>
      </c>
      <c r="C329" t="s">
        <v>71</v>
      </c>
      <c r="D329" t="s">
        <v>215</v>
      </c>
      <c r="E329" t="s">
        <v>21</v>
      </c>
      <c r="F329" s="2">
        <v>2018</v>
      </c>
      <c r="G329" t="s">
        <v>1334</v>
      </c>
      <c r="H329">
        <v>131</v>
      </c>
      <c r="I329">
        <v>6.6</v>
      </c>
      <c r="J329">
        <v>464313</v>
      </c>
      <c r="K329">
        <v>412.17</v>
      </c>
      <c r="L329" t="s">
        <v>66</v>
      </c>
      <c r="M329" t="s">
        <v>1343</v>
      </c>
      <c r="N329" t="s">
        <v>123</v>
      </c>
      <c r="O329" s="7" t="s">
        <v>19</v>
      </c>
    </row>
    <row r="330" spans="1:15" x14ac:dyDescent="0.3">
      <c r="A330" t="s">
        <v>779</v>
      </c>
      <c r="B330" t="s">
        <v>780</v>
      </c>
      <c r="C330" t="s">
        <v>63</v>
      </c>
      <c r="D330" t="s">
        <v>57</v>
      </c>
      <c r="E330" t="s">
        <v>208</v>
      </c>
      <c r="F330" s="2">
        <v>2017</v>
      </c>
      <c r="G330" t="s">
        <v>1327</v>
      </c>
      <c r="H330">
        <v>161</v>
      </c>
      <c r="I330">
        <v>8.6</v>
      </c>
      <c r="J330">
        <v>424189</v>
      </c>
      <c r="K330">
        <v>214.65</v>
      </c>
      <c r="L330" t="s">
        <v>83</v>
      </c>
      <c r="M330" t="s">
        <v>1320</v>
      </c>
      <c r="N330" t="s">
        <v>152</v>
      </c>
      <c r="O330" s="6" t="s">
        <v>116</v>
      </c>
    </row>
    <row r="331" spans="1:15" x14ac:dyDescent="0.3">
      <c r="A331" t="s">
        <v>781</v>
      </c>
      <c r="B331" t="s">
        <v>782</v>
      </c>
      <c r="C331" t="s">
        <v>104</v>
      </c>
      <c r="D331" t="s">
        <v>40</v>
      </c>
      <c r="E331" t="s">
        <v>82</v>
      </c>
      <c r="F331" s="2">
        <v>2016</v>
      </c>
      <c r="G331" t="s">
        <v>1322</v>
      </c>
      <c r="H331">
        <v>149</v>
      </c>
      <c r="I331">
        <v>6.3</v>
      </c>
      <c r="J331">
        <v>607821</v>
      </c>
      <c r="K331">
        <v>487.06</v>
      </c>
      <c r="L331" t="s">
        <v>101</v>
      </c>
      <c r="M331" t="s">
        <v>1318</v>
      </c>
      <c r="N331" t="s">
        <v>60</v>
      </c>
      <c r="O331" s="7" t="s">
        <v>130</v>
      </c>
    </row>
    <row r="332" spans="1:15" x14ac:dyDescent="0.3">
      <c r="A332" t="s">
        <v>783</v>
      </c>
      <c r="B332" t="s">
        <v>784</v>
      </c>
      <c r="C332" t="s">
        <v>63</v>
      </c>
      <c r="D332" t="s">
        <v>57</v>
      </c>
      <c r="E332" t="s">
        <v>82</v>
      </c>
      <c r="F332" s="2">
        <v>2024</v>
      </c>
      <c r="G332" t="s">
        <v>1322</v>
      </c>
      <c r="H332">
        <v>163</v>
      </c>
      <c r="I332">
        <v>7.2</v>
      </c>
      <c r="J332">
        <v>776839</v>
      </c>
      <c r="K332">
        <v>157.27000000000001</v>
      </c>
      <c r="L332" t="s">
        <v>140</v>
      </c>
      <c r="M332" t="s">
        <v>1338</v>
      </c>
      <c r="N332" t="s">
        <v>36</v>
      </c>
      <c r="O332" s="6" t="s">
        <v>19</v>
      </c>
    </row>
    <row r="333" spans="1:15" x14ac:dyDescent="0.3">
      <c r="A333" t="s">
        <v>785</v>
      </c>
      <c r="B333" t="s">
        <v>786</v>
      </c>
      <c r="C333" t="s">
        <v>39</v>
      </c>
      <c r="D333" t="s">
        <v>20</v>
      </c>
      <c r="E333" t="s">
        <v>82</v>
      </c>
      <c r="F333" s="2">
        <v>2021</v>
      </c>
      <c r="G333" t="s">
        <v>1331</v>
      </c>
      <c r="H333">
        <v>121</v>
      </c>
      <c r="I333">
        <v>7.1</v>
      </c>
      <c r="J333">
        <v>911234</v>
      </c>
      <c r="K333">
        <v>270.58</v>
      </c>
      <c r="L333" t="s">
        <v>109</v>
      </c>
      <c r="M333" t="s">
        <v>1341</v>
      </c>
      <c r="N333" t="s">
        <v>152</v>
      </c>
      <c r="O333" s="7" t="s">
        <v>130</v>
      </c>
    </row>
    <row r="334" spans="1:15" x14ac:dyDescent="0.3">
      <c r="A334" t="s">
        <v>787</v>
      </c>
      <c r="B334" t="s">
        <v>788</v>
      </c>
      <c r="C334" t="s">
        <v>144</v>
      </c>
      <c r="D334" t="s">
        <v>20</v>
      </c>
      <c r="E334" t="s">
        <v>88</v>
      </c>
      <c r="F334" s="2">
        <v>2016</v>
      </c>
      <c r="G334" t="s">
        <v>1334</v>
      </c>
      <c r="H334">
        <v>113</v>
      </c>
      <c r="I334">
        <v>6.2</v>
      </c>
      <c r="J334">
        <v>510790</v>
      </c>
      <c r="K334">
        <v>203.11</v>
      </c>
      <c r="L334" t="s">
        <v>52</v>
      </c>
      <c r="M334" t="s">
        <v>1320</v>
      </c>
      <c r="N334" t="s">
        <v>54</v>
      </c>
      <c r="O334" s="6" t="s">
        <v>144</v>
      </c>
    </row>
    <row r="335" spans="1:15" x14ac:dyDescent="0.3">
      <c r="A335" t="s">
        <v>789</v>
      </c>
      <c r="B335" t="s">
        <v>790</v>
      </c>
      <c r="C335" t="s">
        <v>130</v>
      </c>
      <c r="D335" t="s">
        <v>20</v>
      </c>
      <c r="E335" t="s">
        <v>49</v>
      </c>
      <c r="F335" s="2">
        <v>2019</v>
      </c>
      <c r="G335" t="s">
        <v>1331</v>
      </c>
      <c r="H335">
        <v>92</v>
      </c>
      <c r="I335">
        <v>7.4</v>
      </c>
      <c r="J335">
        <v>369838</v>
      </c>
      <c r="K335">
        <v>368.09</v>
      </c>
      <c r="L335" t="s">
        <v>73</v>
      </c>
      <c r="M335" t="s">
        <v>1320</v>
      </c>
      <c r="N335" t="s">
        <v>68</v>
      </c>
      <c r="O335" s="7" t="s">
        <v>71</v>
      </c>
    </row>
    <row r="336" spans="1:15" x14ac:dyDescent="0.3">
      <c r="A336" t="s">
        <v>791</v>
      </c>
      <c r="B336" t="s">
        <v>792</v>
      </c>
      <c r="C336" t="s">
        <v>86</v>
      </c>
      <c r="D336" t="s">
        <v>171</v>
      </c>
      <c r="E336" t="s">
        <v>88</v>
      </c>
      <c r="F336" s="2">
        <v>2023</v>
      </c>
      <c r="G336" t="s">
        <v>1326</v>
      </c>
      <c r="H336">
        <v>142</v>
      </c>
      <c r="I336">
        <v>7.7</v>
      </c>
      <c r="J336">
        <v>594097</v>
      </c>
      <c r="K336">
        <v>1205.69</v>
      </c>
      <c r="L336" t="s">
        <v>34</v>
      </c>
      <c r="M336" t="s">
        <v>1320</v>
      </c>
      <c r="N336" t="s">
        <v>68</v>
      </c>
      <c r="O336" s="6" t="s">
        <v>63</v>
      </c>
    </row>
    <row r="337" spans="1:15" x14ac:dyDescent="0.3">
      <c r="A337" t="s">
        <v>793</v>
      </c>
      <c r="B337" t="s">
        <v>794</v>
      </c>
      <c r="C337" t="s">
        <v>39</v>
      </c>
      <c r="D337" t="s">
        <v>20</v>
      </c>
      <c r="E337" t="s">
        <v>92</v>
      </c>
      <c r="F337" s="2">
        <v>2018</v>
      </c>
      <c r="G337" t="s">
        <v>1322</v>
      </c>
      <c r="H337">
        <v>155</v>
      </c>
      <c r="I337">
        <v>7.2</v>
      </c>
      <c r="J337">
        <v>392594</v>
      </c>
      <c r="K337">
        <v>327.27</v>
      </c>
      <c r="L337" t="s">
        <v>109</v>
      </c>
      <c r="M337" t="s">
        <v>1337</v>
      </c>
      <c r="N337" t="s">
        <v>123</v>
      </c>
      <c r="O337" s="7" t="s">
        <v>104</v>
      </c>
    </row>
    <row r="338" spans="1:15" x14ac:dyDescent="0.3">
      <c r="A338" t="s">
        <v>795</v>
      </c>
      <c r="B338" t="s">
        <v>796</v>
      </c>
      <c r="C338" t="s">
        <v>130</v>
      </c>
      <c r="D338" t="s">
        <v>20</v>
      </c>
      <c r="E338" t="s">
        <v>92</v>
      </c>
      <c r="F338" s="2">
        <v>2019</v>
      </c>
      <c r="G338" t="s">
        <v>1340</v>
      </c>
      <c r="H338">
        <v>103</v>
      </c>
      <c r="I338">
        <v>6.7</v>
      </c>
      <c r="J338">
        <v>834435</v>
      </c>
      <c r="K338">
        <v>1115.9000000000001</v>
      </c>
      <c r="L338" t="s">
        <v>101</v>
      </c>
      <c r="M338" t="s">
        <v>1335</v>
      </c>
      <c r="N338" t="s">
        <v>152</v>
      </c>
      <c r="O338" s="6" t="s">
        <v>63</v>
      </c>
    </row>
    <row r="339" spans="1:15" x14ac:dyDescent="0.3">
      <c r="A339" t="s">
        <v>797</v>
      </c>
      <c r="B339" t="s">
        <v>798</v>
      </c>
      <c r="C339" t="s">
        <v>104</v>
      </c>
      <c r="D339" t="s">
        <v>20</v>
      </c>
      <c r="E339" t="s">
        <v>31</v>
      </c>
      <c r="F339" s="2">
        <v>2021</v>
      </c>
      <c r="G339" t="s">
        <v>1316</v>
      </c>
      <c r="H339">
        <v>122</v>
      </c>
      <c r="I339">
        <v>6.7</v>
      </c>
      <c r="J339">
        <v>698029</v>
      </c>
      <c r="K339">
        <v>1255.56</v>
      </c>
      <c r="L339" t="s">
        <v>83</v>
      </c>
      <c r="M339" t="s">
        <v>1343</v>
      </c>
      <c r="N339" t="s">
        <v>60</v>
      </c>
      <c r="O339" s="7" t="s">
        <v>39</v>
      </c>
    </row>
    <row r="340" spans="1:15" x14ac:dyDescent="0.3">
      <c r="A340" t="s">
        <v>799</v>
      </c>
      <c r="B340" t="s">
        <v>800</v>
      </c>
      <c r="C340" t="s">
        <v>30</v>
      </c>
      <c r="D340" t="s">
        <v>20</v>
      </c>
      <c r="E340" t="s">
        <v>41</v>
      </c>
      <c r="F340" s="2">
        <v>2023</v>
      </c>
      <c r="G340" t="s">
        <v>1322</v>
      </c>
      <c r="H340">
        <v>144</v>
      </c>
      <c r="I340">
        <v>8.3000000000000007</v>
      </c>
      <c r="J340">
        <v>709241</v>
      </c>
      <c r="K340">
        <v>630.27</v>
      </c>
      <c r="L340" t="s">
        <v>119</v>
      </c>
      <c r="M340" t="s">
        <v>1339</v>
      </c>
      <c r="N340" t="s">
        <v>152</v>
      </c>
      <c r="O340" s="6" t="s">
        <v>144</v>
      </c>
    </row>
    <row r="341" spans="1:15" x14ac:dyDescent="0.3">
      <c r="A341" t="s">
        <v>801</v>
      </c>
      <c r="B341" t="s">
        <v>802</v>
      </c>
      <c r="C341" t="s">
        <v>19</v>
      </c>
      <c r="D341" t="s">
        <v>20</v>
      </c>
      <c r="E341" t="s">
        <v>41</v>
      </c>
      <c r="F341" s="2">
        <v>2021</v>
      </c>
      <c r="G341" t="s">
        <v>1326</v>
      </c>
      <c r="H341">
        <v>112</v>
      </c>
      <c r="I341">
        <v>5.6</v>
      </c>
      <c r="J341">
        <v>639837</v>
      </c>
      <c r="K341">
        <v>389.89</v>
      </c>
      <c r="L341" t="s">
        <v>89</v>
      </c>
      <c r="M341" t="s">
        <v>1339</v>
      </c>
      <c r="N341" t="s">
        <v>54</v>
      </c>
      <c r="O341" s="7" t="s">
        <v>130</v>
      </c>
    </row>
    <row r="342" spans="1:15" x14ac:dyDescent="0.3">
      <c r="A342" t="s">
        <v>803</v>
      </c>
      <c r="B342" t="s">
        <v>804</v>
      </c>
      <c r="C342" t="s">
        <v>39</v>
      </c>
      <c r="D342" t="s">
        <v>20</v>
      </c>
      <c r="E342" t="s">
        <v>88</v>
      </c>
      <c r="F342" s="2">
        <v>2020</v>
      </c>
      <c r="G342" t="s">
        <v>1326</v>
      </c>
      <c r="H342">
        <v>166</v>
      </c>
      <c r="I342">
        <v>7.2</v>
      </c>
      <c r="J342">
        <v>929125</v>
      </c>
      <c r="K342">
        <v>1518.53</v>
      </c>
      <c r="L342" t="s">
        <v>89</v>
      </c>
      <c r="M342" t="s">
        <v>1317</v>
      </c>
      <c r="N342" t="s">
        <v>36</v>
      </c>
      <c r="O342" s="6" t="s">
        <v>86</v>
      </c>
    </row>
    <row r="343" spans="1:15" x14ac:dyDescent="0.3">
      <c r="A343" t="s">
        <v>805</v>
      </c>
      <c r="B343" t="s">
        <v>806</v>
      </c>
      <c r="C343" t="s">
        <v>144</v>
      </c>
      <c r="D343" t="s">
        <v>20</v>
      </c>
      <c r="E343" t="s">
        <v>82</v>
      </c>
      <c r="F343" s="2">
        <v>2015</v>
      </c>
      <c r="G343" t="s">
        <v>1329</v>
      </c>
      <c r="H343">
        <v>90</v>
      </c>
      <c r="I343">
        <v>6.3</v>
      </c>
      <c r="J343">
        <v>721226</v>
      </c>
      <c r="K343">
        <v>1410.2</v>
      </c>
      <c r="L343" t="s">
        <v>89</v>
      </c>
      <c r="M343" t="s">
        <v>1320</v>
      </c>
      <c r="N343" t="s">
        <v>60</v>
      </c>
      <c r="O343" s="7" t="s">
        <v>39</v>
      </c>
    </row>
    <row r="344" spans="1:15" x14ac:dyDescent="0.3">
      <c r="A344" t="s">
        <v>807</v>
      </c>
      <c r="B344" t="s">
        <v>808</v>
      </c>
      <c r="C344" t="s">
        <v>86</v>
      </c>
      <c r="D344" t="s">
        <v>40</v>
      </c>
      <c r="E344" t="s">
        <v>88</v>
      </c>
      <c r="F344" s="2">
        <v>2025</v>
      </c>
      <c r="G344" t="s">
        <v>1329</v>
      </c>
      <c r="H344">
        <v>105</v>
      </c>
      <c r="I344">
        <v>8.3000000000000007</v>
      </c>
      <c r="J344">
        <v>98674</v>
      </c>
      <c r="K344">
        <v>407.17</v>
      </c>
      <c r="L344" t="s">
        <v>145</v>
      </c>
      <c r="M344" t="s">
        <v>1333</v>
      </c>
      <c r="N344" t="s">
        <v>27</v>
      </c>
      <c r="O344" s="6" t="s">
        <v>130</v>
      </c>
    </row>
    <row r="345" spans="1:15" x14ac:dyDescent="0.3">
      <c r="A345" t="s">
        <v>809</v>
      </c>
      <c r="B345" t="s">
        <v>810</v>
      </c>
      <c r="C345" t="s">
        <v>63</v>
      </c>
      <c r="D345" t="s">
        <v>20</v>
      </c>
      <c r="E345" t="s">
        <v>31</v>
      </c>
      <c r="F345" s="2">
        <v>2017</v>
      </c>
      <c r="G345" t="s">
        <v>1314</v>
      </c>
      <c r="H345">
        <v>126</v>
      </c>
      <c r="I345">
        <v>7.1</v>
      </c>
      <c r="J345">
        <v>260896</v>
      </c>
      <c r="K345">
        <v>12.44</v>
      </c>
      <c r="L345" t="s">
        <v>52</v>
      </c>
      <c r="M345" t="s">
        <v>1318</v>
      </c>
      <c r="N345" t="s">
        <v>54</v>
      </c>
      <c r="O345" s="7" t="s">
        <v>104</v>
      </c>
    </row>
    <row r="346" spans="1:15" x14ac:dyDescent="0.3">
      <c r="A346" t="s">
        <v>811</v>
      </c>
      <c r="B346" t="s">
        <v>812</v>
      </c>
      <c r="C346" t="s">
        <v>71</v>
      </c>
      <c r="D346" t="s">
        <v>20</v>
      </c>
      <c r="E346" t="s">
        <v>88</v>
      </c>
      <c r="F346" s="2">
        <v>2020</v>
      </c>
      <c r="G346" t="s">
        <v>1327</v>
      </c>
      <c r="H346">
        <v>91</v>
      </c>
      <c r="I346">
        <v>9.1</v>
      </c>
      <c r="J346">
        <v>169972</v>
      </c>
      <c r="K346">
        <v>825.57</v>
      </c>
      <c r="L346" t="s">
        <v>89</v>
      </c>
      <c r="M346" t="s">
        <v>1324</v>
      </c>
      <c r="N346" t="s">
        <v>152</v>
      </c>
      <c r="O346" s="6" t="s">
        <v>30</v>
      </c>
    </row>
    <row r="347" spans="1:15" x14ac:dyDescent="0.3">
      <c r="A347" t="s">
        <v>813</v>
      </c>
      <c r="B347" t="s">
        <v>814</v>
      </c>
      <c r="C347" t="s">
        <v>63</v>
      </c>
      <c r="D347" t="s">
        <v>72</v>
      </c>
      <c r="E347" t="s">
        <v>41</v>
      </c>
      <c r="F347" s="2">
        <v>2021</v>
      </c>
      <c r="G347" t="s">
        <v>1327</v>
      </c>
      <c r="H347">
        <v>146</v>
      </c>
      <c r="I347">
        <v>8.1999999999999993</v>
      </c>
      <c r="J347">
        <v>930001</v>
      </c>
      <c r="K347">
        <v>29.87</v>
      </c>
      <c r="L347" t="s">
        <v>179</v>
      </c>
      <c r="M347" t="s">
        <v>1335</v>
      </c>
      <c r="N347" t="s">
        <v>54</v>
      </c>
      <c r="O347" s="7" t="s">
        <v>19</v>
      </c>
    </row>
    <row r="348" spans="1:15" x14ac:dyDescent="0.3">
      <c r="A348" t="s">
        <v>815</v>
      </c>
      <c r="B348" t="s">
        <v>816</v>
      </c>
      <c r="C348" t="s">
        <v>39</v>
      </c>
      <c r="D348" t="s">
        <v>64</v>
      </c>
      <c r="E348" t="s">
        <v>41</v>
      </c>
      <c r="F348" s="2">
        <v>2025</v>
      </c>
      <c r="G348" t="s">
        <v>1334</v>
      </c>
      <c r="H348">
        <v>95</v>
      </c>
      <c r="I348">
        <v>7.1</v>
      </c>
      <c r="J348">
        <v>793253</v>
      </c>
      <c r="K348">
        <v>882.07</v>
      </c>
      <c r="L348" t="s">
        <v>119</v>
      </c>
      <c r="M348" t="s">
        <v>1321</v>
      </c>
      <c r="N348" t="s">
        <v>27</v>
      </c>
      <c r="O348" s="6" t="s">
        <v>39</v>
      </c>
    </row>
    <row r="349" spans="1:15" x14ac:dyDescent="0.3">
      <c r="A349" t="s">
        <v>817</v>
      </c>
      <c r="B349" t="s">
        <v>818</v>
      </c>
      <c r="C349" t="s">
        <v>86</v>
      </c>
      <c r="D349" t="s">
        <v>72</v>
      </c>
      <c r="E349" t="s">
        <v>82</v>
      </c>
      <c r="F349" s="2">
        <v>2024</v>
      </c>
      <c r="G349" t="s">
        <v>1322</v>
      </c>
      <c r="H349">
        <v>152</v>
      </c>
      <c r="I349">
        <v>7.3</v>
      </c>
      <c r="J349">
        <v>296348</v>
      </c>
      <c r="K349">
        <v>261</v>
      </c>
      <c r="L349" t="s">
        <v>24</v>
      </c>
      <c r="M349" t="s">
        <v>1342</v>
      </c>
      <c r="N349" t="s">
        <v>60</v>
      </c>
      <c r="O349" s="7" t="s">
        <v>144</v>
      </c>
    </row>
    <row r="350" spans="1:15" x14ac:dyDescent="0.3">
      <c r="A350" t="s">
        <v>819</v>
      </c>
      <c r="B350" t="s">
        <v>820</v>
      </c>
      <c r="C350" t="s">
        <v>39</v>
      </c>
      <c r="D350" t="s">
        <v>211</v>
      </c>
      <c r="E350" t="s">
        <v>82</v>
      </c>
      <c r="F350" s="2">
        <v>2017</v>
      </c>
      <c r="G350" t="s">
        <v>1326</v>
      </c>
      <c r="H350">
        <v>126</v>
      </c>
      <c r="I350">
        <v>7.7</v>
      </c>
      <c r="J350">
        <v>544903</v>
      </c>
      <c r="K350">
        <v>1448.39</v>
      </c>
      <c r="L350" t="s">
        <v>179</v>
      </c>
      <c r="M350" t="s">
        <v>1335</v>
      </c>
      <c r="N350" t="s">
        <v>36</v>
      </c>
      <c r="O350" s="6" t="s">
        <v>86</v>
      </c>
    </row>
    <row r="351" spans="1:15" x14ac:dyDescent="0.3">
      <c r="A351" t="s">
        <v>821</v>
      </c>
      <c r="B351" t="s">
        <v>822</v>
      </c>
      <c r="C351" t="s">
        <v>86</v>
      </c>
      <c r="D351" t="s">
        <v>87</v>
      </c>
      <c r="E351" t="s">
        <v>82</v>
      </c>
      <c r="F351" s="2">
        <v>2019</v>
      </c>
      <c r="G351" t="s">
        <v>1334</v>
      </c>
      <c r="H351">
        <v>121</v>
      </c>
      <c r="I351">
        <v>7.1</v>
      </c>
      <c r="J351">
        <v>18775</v>
      </c>
      <c r="K351">
        <v>692.94</v>
      </c>
      <c r="L351" t="s">
        <v>52</v>
      </c>
      <c r="M351" t="s">
        <v>1333</v>
      </c>
      <c r="N351" t="s">
        <v>152</v>
      </c>
      <c r="O351" s="7" t="s">
        <v>63</v>
      </c>
    </row>
    <row r="352" spans="1:15" x14ac:dyDescent="0.3">
      <c r="A352" t="s">
        <v>823</v>
      </c>
      <c r="B352" t="s">
        <v>824</v>
      </c>
      <c r="C352" t="s">
        <v>19</v>
      </c>
      <c r="D352" t="s">
        <v>20</v>
      </c>
      <c r="E352" t="s">
        <v>41</v>
      </c>
      <c r="F352" s="2">
        <v>2023</v>
      </c>
      <c r="G352" t="s">
        <v>1325</v>
      </c>
      <c r="H352">
        <v>120</v>
      </c>
      <c r="I352">
        <v>7.4</v>
      </c>
      <c r="J352">
        <v>545732</v>
      </c>
      <c r="K352">
        <v>769.13</v>
      </c>
      <c r="L352" t="s">
        <v>43</v>
      </c>
      <c r="M352" t="s">
        <v>1315</v>
      </c>
      <c r="N352" t="s">
        <v>36</v>
      </c>
      <c r="O352" s="6" t="s">
        <v>71</v>
      </c>
    </row>
    <row r="353" spans="1:15" x14ac:dyDescent="0.3">
      <c r="A353" t="s">
        <v>825</v>
      </c>
      <c r="B353" t="s">
        <v>826</v>
      </c>
      <c r="C353" t="s">
        <v>86</v>
      </c>
      <c r="D353" t="s">
        <v>211</v>
      </c>
      <c r="E353" t="s">
        <v>82</v>
      </c>
      <c r="F353" s="2">
        <v>2018</v>
      </c>
      <c r="G353" t="s">
        <v>1334</v>
      </c>
      <c r="H353">
        <v>129</v>
      </c>
      <c r="I353">
        <v>7.6</v>
      </c>
      <c r="J353">
        <v>576851</v>
      </c>
      <c r="K353">
        <v>141.59</v>
      </c>
      <c r="L353" t="s">
        <v>83</v>
      </c>
      <c r="M353" t="s">
        <v>1337</v>
      </c>
      <c r="N353" t="s">
        <v>152</v>
      </c>
      <c r="O353" s="7" t="s">
        <v>63</v>
      </c>
    </row>
    <row r="354" spans="1:15" x14ac:dyDescent="0.3">
      <c r="A354" t="s">
        <v>827</v>
      </c>
      <c r="B354" t="s">
        <v>828</v>
      </c>
      <c r="C354" t="s">
        <v>63</v>
      </c>
      <c r="D354" t="s">
        <v>87</v>
      </c>
      <c r="E354" t="s">
        <v>208</v>
      </c>
      <c r="F354" s="2">
        <v>2024</v>
      </c>
      <c r="G354" t="s">
        <v>1332</v>
      </c>
      <c r="H354">
        <v>175</v>
      </c>
      <c r="I354">
        <v>7.7</v>
      </c>
      <c r="J354">
        <v>73733</v>
      </c>
      <c r="K354">
        <v>31.09</v>
      </c>
      <c r="L354" t="s">
        <v>43</v>
      </c>
      <c r="M354" t="s">
        <v>1337</v>
      </c>
      <c r="N354" t="s">
        <v>27</v>
      </c>
      <c r="O354" s="6" t="s">
        <v>30</v>
      </c>
    </row>
    <row r="355" spans="1:15" x14ac:dyDescent="0.3">
      <c r="A355" t="s">
        <v>829</v>
      </c>
      <c r="B355" t="s">
        <v>830</v>
      </c>
      <c r="C355" t="s">
        <v>104</v>
      </c>
      <c r="D355" t="s">
        <v>87</v>
      </c>
      <c r="E355" t="s">
        <v>88</v>
      </c>
      <c r="F355" s="2">
        <v>2024</v>
      </c>
      <c r="G355" t="s">
        <v>1314</v>
      </c>
      <c r="H355">
        <v>116</v>
      </c>
      <c r="I355">
        <v>6.4</v>
      </c>
      <c r="J355">
        <v>481219</v>
      </c>
      <c r="K355">
        <v>91.68</v>
      </c>
      <c r="L355" t="s">
        <v>24</v>
      </c>
      <c r="M355" t="s">
        <v>1341</v>
      </c>
      <c r="N355" t="s">
        <v>123</v>
      </c>
      <c r="O355" s="7" t="s">
        <v>39</v>
      </c>
    </row>
    <row r="356" spans="1:15" x14ac:dyDescent="0.3">
      <c r="A356" t="s">
        <v>831</v>
      </c>
      <c r="B356" t="s">
        <v>832</v>
      </c>
      <c r="C356" t="s">
        <v>86</v>
      </c>
      <c r="D356" t="s">
        <v>20</v>
      </c>
      <c r="E356" t="s">
        <v>82</v>
      </c>
      <c r="F356" s="2">
        <v>2023</v>
      </c>
      <c r="G356" t="s">
        <v>1314</v>
      </c>
      <c r="H356">
        <v>152</v>
      </c>
      <c r="I356">
        <v>7.1</v>
      </c>
      <c r="J356">
        <v>592373</v>
      </c>
      <c r="K356">
        <v>189.5</v>
      </c>
      <c r="L356" t="s">
        <v>83</v>
      </c>
      <c r="M356" t="s">
        <v>1335</v>
      </c>
      <c r="N356" t="s">
        <v>36</v>
      </c>
      <c r="O356" s="6" t="s">
        <v>86</v>
      </c>
    </row>
    <row r="357" spans="1:15" x14ac:dyDescent="0.3">
      <c r="A357" t="s">
        <v>833</v>
      </c>
      <c r="B357" t="s">
        <v>834</v>
      </c>
      <c r="C357" t="s">
        <v>63</v>
      </c>
      <c r="D357" t="s">
        <v>20</v>
      </c>
      <c r="E357" t="s">
        <v>31</v>
      </c>
      <c r="F357" s="2">
        <v>2016</v>
      </c>
      <c r="G357" t="s">
        <v>1329</v>
      </c>
      <c r="H357">
        <v>142</v>
      </c>
      <c r="I357">
        <v>8.3000000000000007</v>
      </c>
      <c r="J357">
        <v>494878</v>
      </c>
      <c r="K357">
        <v>16.809999999999999</v>
      </c>
      <c r="L357" t="s">
        <v>179</v>
      </c>
      <c r="M357" t="s">
        <v>1335</v>
      </c>
      <c r="N357" t="s">
        <v>68</v>
      </c>
      <c r="O357" s="7" t="s">
        <v>39</v>
      </c>
    </row>
    <row r="358" spans="1:15" x14ac:dyDescent="0.3">
      <c r="A358" t="s">
        <v>835</v>
      </c>
      <c r="B358" t="s">
        <v>836</v>
      </c>
      <c r="C358" t="s">
        <v>19</v>
      </c>
      <c r="D358" t="s">
        <v>87</v>
      </c>
      <c r="E358" t="s">
        <v>41</v>
      </c>
      <c r="F358" s="2">
        <v>2024</v>
      </c>
      <c r="G358" t="s">
        <v>1329</v>
      </c>
      <c r="H358">
        <v>108</v>
      </c>
      <c r="I358">
        <v>8.4</v>
      </c>
      <c r="J358">
        <v>576010</v>
      </c>
      <c r="K358">
        <v>175.03</v>
      </c>
      <c r="L358" t="s">
        <v>34</v>
      </c>
      <c r="M358" t="s">
        <v>1333</v>
      </c>
      <c r="N358" t="s">
        <v>27</v>
      </c>
      <c r="O358" s="6" t="s">
        <v>86</v>
      </c>
    </row>
    <row r="359" spans="1:15" x14ac:dyDescent="0.3">
      <c r="A359" t="s">
        <v>837</v>
      </c>
      <c r="B359" t="s">
        <v>838</v>
      </c>
      <c r="C359" t="s">
        <v>48</v>
      </c>
      <c r="D359" t="s">
        <v>20</v>
      </c>
      <c r="E359" t="s">
        <v>21</v>
      </c>
      <c r="F359" s="2">
        <v>2024</v>
      </c>
      <c r="G359" t="s">
        <v>1316</v>
      </c>
      <c r="H359">
        <v>165</v>
      </c>
      <c r="I359">
        <v>7.7</v>
      </c>
      <c r="J359">
        <v>485752</v>
      </c>
      <c r="K359">
        <v>69.87</v>
      </c>
      <c r="L359" t="s">
        <v>119</v>
      </c>
      <c r="M359" t="s">
        <v>1315</v>
      </c>
      <c r="N359" t="s">
        <v>54</v>
      </c>
      <c r="O359" s="7" t="s">
        <v>19</v>
      </c>
    </row>
    <row r="360" spans="1:15" x14ac:dyDescent="0.3">
      <c r="A360" t="s">
        <v>839</v>
      </c>
      <c r="B360" t="s">
        <v>840</v>
      </c>
      <c r="C360" t="s">
        <v>48</v>
      </c>
      <c r="D360" t="s">
        <v>81</v>
      </c>
      <c r="E360" t="s">
        <v>41</v>
      </c>
      <c r="F360" s="2">
        <v>2017</v>
      </c>
      <c r="G360" t="s">
        <v>1314</v>
      </c>
      <c r="H360">
        <v>150</v>
      </c>
      <c r="I360">
        <v>7.8</v>
      </c>
      <c r="J360">
        <v>490291</v>
      </c>
      <c r="K360">
        <v>360.38</v>
      </c>
      <c r="L360" t="s">
        <v>43</v>
      </c>
      <c r="M360" t="s">
        <v>1341</v>
      </c>
      <c r="N360" t="s">
        <v>27</v>
      </c>
      <c r="O360" s="6" t="s">
        <v>86</v>
      </c>
    </row>
    <row r="361" spans="1:15" x14ac:dyDescent="0.3">
      <c r="A361" t="s">
        <v>841</v>
      </c>
      <c r="B361" t="s">
        <v>842</v>
      </c>
      <c r="C361" t="s">
        <v>39</v>
      </c>
      <c r="D361" t="s">
        <v>211</v>
      </c>
      <c r="E361" t="s">
        <v>41</v>
      </c>
      <c r="F361" s="2">
        <v>2025</v>
      </c>
      <c r="G361" t="s">
        <v>1334</v>
      </c>
      <c r="H361">
        <v>143</v>
      </c>
      <c r="I361">
        <v>8</v>
      </c>
      <c r="J361">
        <v>706596</v>
      </c>
      <c r="K361">
        <v>270.67</v>
      </c>
      <c r="L361" t="s">
        <v>109</v>
      </c>
      <c r="M361" t="s">
        <v>1315</v>
      </c>
      <c r="N361" t="s">
        <v>152</v>
      </c>
      <c r="O361" s="7" t="s">
        <v>63</v>
      </c>
    </row>
    <row r="362" spans="1:15" x14ac:dyDescent="0.3">
      <c r="A362" t="s">
        <v>843</v>
      </c>
      <c r="B362" t="s">
        <v>844</v>
      </c>
      <c r="C362" t="s">
        <v>48</v>
      </c>
      <c r="D362" t="s">
        <v>20</v>
      </c>
      <c r="E362" t="s">
        <v>31</v>
      </c>
      <c r="F362" s="2">
        <v>2020</v>
      </c>
      <c r="G362" t="s">
        <v>1327</v>
      </c>
      <c r="H362">
        <v>168</v>
      </c>
      <c r="I362">
        <v>7.6</v>
      </c>
      <c r="J362">
        <v>315277</v>
      </c>
      <c r="K362">
        <v>483.11</v>
      </c>
      <c r="L362" t="s">
        <v>109</v>
      </c>
      <c r="M362" t="s">
        <v>1341</v>
      </c>
      <c r="N362" t="s">
        <v>60</v>
      </c>
      <c r="O362" s="6" t="s">
        <v>104</v>
      </c>
    </row>
    <row r="363" spans="1:15" x14ac:dyDescent="0.3">
      <c r="A363" t="s">
        <v>845</v>
      </c>
      <c r="B363" t="s">
        <v>846</v>
      </c>
      <c r="C363" t="s">
        <v>30</v>
      </c>
      <c r="D363" t="s">
        <v>20</v>
      </c>
      <c r="E363" t="s">
        <v>41</v>
      </c>
      <c r="F363" s="2">
        <v>2023</v>
      </c>
      <c r="G363" t="s">
        <v>1325</v>
      </c>
      <c r="H363">
        <v>150</v>
      </c>
      <c r="I363">
        <v>7.7</v>
      </c>
      <c r="J363">
        <v>842614</v>
      </c>
      <c r="K363">
        <v>520.57000000000005</v>
      </c>
      <c r="L363" t="s">
        <v>66</v>
      </c>
      <c r="M363" t="s">
        <v>1339</v>
      </c>
      <c r="N363" t="s">
        <v>60</v>
      </c>
      <c r="O363" s="7" t="s">
        <v>86</v>
      </c>
    </row>
    <row r="364" spans="1:15" x14ac:dyDescent="0.3">
      <c r="A364" t="s">
        <v>847</v>
      </c>
      <c r="B364" t="s">
        <v>848</v>
      </c>
      <c r="C364" t="s">
        <v>39</v>
      </c>
      <c r="D364" t="s">
        <v>20</v>
      </c>
      <c r="E364" t="s">
        <v>88</v>
      </c>
      <c r="F364" s="2">
        <v>2019</v>
      </c>
      <c r="G364" t="s">
        <v>1326</v>
      </c>
      <c r="H364">
        <v>150</v>
      </c>
      <c r="I364">
        <v>7.9</v>
      </c>
      <c r="J364">
        <v>613254</v>
      </c>
      <c r="K364">
        <v>488.14</v>
      </c>
      <c r="L364" t="s">
        <v>52</v>
      </c>
      <c r="M364" t="s">
        <v>1323</v>
      </c>
      <c r="N364" t="s">
        <v>152</v>
      </c>
      <c r="O364" s="6" t="s">
        <v>63</v>
      </c>
    </row>
    <row r="365" spans="1:15" x14ac:dyDescent="0.3">
      <c r="A365" t="s">
        <v>849</v>
      </c>
      <c r="B365" t="s">
        <v>850</v>
      </c>
      <c r="C365" t="s">
        <v>144</v>
      </c>
      <c r="D365" t="s">
        <v>20</v>
      </c>
      <c r="E365" t="s">
        <v>88</v>
      </c>
      <c r="F365" s="2">
        <v>2020</v>
      </c>
      <c r="G365" t="s">
        <v>1325</v>
      </c>
      <c r="H365">
        <v>188</v>
      </c>
      <c r="I365">
        <v>6.5</v>
      </c>
      <c r="J365">
        <v>778903</v>
      </c>
      <c r="K365">
        <v>870.17</v>
      </c>
      <c r="L365" t="s">
        <v>109</v>
      </c>
      <c r="M365" t="s">
        <v>1342</v>
      </c>
      <c r="N365" t="s">
        <v>54</v>
      </c>
      <c r="O365" s="7" t="s">
        <v>19</v>
      </c>
    </row>
    <row r="366" spans="1:15" x14ac:dyDescent="0.3">
      <c r="A366" t="s">
        <v>851</v>
      </c>
      <c r="B366" t="s">
        <v>852</v>
      </c>
      <c r="C366" t="s">
        <v>39</v>
      </c>
      <c r="D366" t="s">
        <v>72</v>
      </c>
      <c r="E366" t="s">
        <v>41</v>
      </c>
      <c r="F366" s="2">
        <v>2024</v>
      </c>
      <c r="G366" t="s">
        <v>1327</v>
      </c>
      <c r="H366">
        <v>172</v>
      </c>
      <c r="I366">
        <v>7.1</v>
      </c>
      <c r="J366">
        <v>398116</v>
      </c>
      <c r="K366">
        <v>426.1</v>
      </c>
      <c r="L366" t="s">
        <v>43</v>
      </c>
      <c r="M366" t="s">
        <v>1339</v>
      </c>
      <c r="N366" t="s">
        <v>60</v>
      </c>
      <c r="O366" s="6" t="s">
        <v>48</v>
      </c>
    </row>
    <row r="367" spans="1:15" x14ac:dyDescent="0.3">
      <c r="A367" t="s">
        <v>853</v>
      </c>
      <c r="B367" t="s">
        <v>854</v>
      </c>
      <c r="C367" t="s">
        <v>39</v>
      </c>
      <c r="D367" t="s">
        <v>20</v>
      </c>
      <c r="E367" t="s">
        <v>88</v>
      </c>
      <c r="F367" s="2">
        <v>2024</v>
      </c>
      <c r="G367" t="s">
        <v>1316</v>
      </c>
      <c r="H367">
        <v>110</v>
      </c>
      <c r="I367">
        <v>7.2</v>
      </c>
      <c r="J367">
        <v>926219</v>
      </c>
      <c r="K367">
        <v>284.08999999999997</v>
      </c>
      <c r="L367" t="s">
        <v>24</v>
      </c>
      <c r="M367" t="s">
        <v>1342</v>
      </c>
      <c r="N367" t="s">
        <v>152</v>
      </c>
      <c r="O367" s="7" t="s">
        <v>48</v>
      </c>
    </row>
    <row r="368" spans="1:15" x14ac:dyDescent="0.3">
      <c r="A368" t="s">
        <v>855</v>
      </c>
      <c r="B368" t="s">
        <v>856</v>
      </c>
      <c r="C368" t="s">
        <v>63</v>
      </c>
      <c r="D368" t="s">
        <v>20</v>
      </c>
      <c r="E368" t="s">
        <v>88</v>
      </c>
      <c r="F368" s="2">
        <v>2020</v>
      </c>
      <c r="G368" t="s">
        <v>1340</v>
      </c>
      <c r="H368">
        <v>162</v>
      </c>
      <c r="I368">
        <v>6.4</v>
      </c>
      <c r="J368">
        <v>209422</v>
      </c>
      <c r="K368">
        <v>747.65</v>
      </c>
      <c r="L368" t="s">
        <v>52</v>
      </c>
      <c r="M368" t="s">
        <v>1343</v>
      </c>
      <c r="N368" t="s">
        <v>54</v>
      </c>
      <c r="O368" s="6" t="s">
        <v>39</v>
      </c>
    </row>
    <row r="369" spans="1:15" x14ac:dyDescent="0.3">
      <c r="A369" t="s">
        <v>857</v>
      </c>
      <c r="B369" t="s">
        <v>858</v>
      </c>
      <c r="C369" t="s">
        <v>39</v>
      </c>
      <c r="D369" t="s">
        <v>87</v>
      </c>
      <c r="E369" t="s">
        <v>82</v>
      </c>
      <c r="F369" s="2">
        <v>2015</v>
      </c>
      <c r="G369" t="s">
        <v>1316</v>
      </c>
      <c r="H369">
        <v>152</v>
      </c>
      <c r="I369">
        <v>5.7</v>
      </c>
      <c r="J369">
        <v>476547</v>
      </c>
      <c r="K369">
        <v>851.59</v>
      </c>
      <c r="L369" t="s">
        <v>24</v>
      </c>
      <c r="M369" t="s">
        <v>1339</v>
      </c>
      <c r="N369" t="s">
        <v>68</v>
      </c>
      <c r="O369" s="7" t="s">
        <v>48</v>
      </c>
    </row>
    <row r="370" spans="1:15" x14ac:dyDescent="0.3">
      <c r="A370" t="s">
        <v>859</v>
      </c>
      <c r="B370" t="s">
        <v>860</v>
      </c>
      <c r="C370" t="s">
        <v>144</v>
      </c>
      <c r="D370" t="s">
        <v>20</v>
      </c>
      <c r="E370" t="s">
        <v>88</v>
      </c>
      <c r="F370" s="2">
        <v>2016</v>
      </c>
      <c r="G370" t="s">
        <v>1325</v>
      </c>
      <c r="H370">
        <v>139</v>
      </c>
      <c r="I370">
        <v>5.8</v>
      </c>
      <c r="J370">
        <v>328504</v>
      </c>
      <c r="K370">
        <v>552.24</v>
      </c>
      <c r="L370" t="s">
        <v>145</v>
      </c>
      <c r="M370" t="s">
        <v>1323</v>
      </c>
      <c r="N370" t="s">
        <v>152</v>
      </c>
      <c r="O370" s="6" t="s">
        <v>30</v>
      </c>
    </row>
    <row r="371" spans="1:15" x14ac:dyDescent="0.3">
      <c r="A371" t="s">
        <v>861</v>
      </c>
      <c r="B371" t="s">
        <v>862</v>
      </c>
      <c r="C371" t="s">
        <v>63</v>
      </c>
      <c r="D371" t="s">
        <v>87</v>
      </c>
      <c r="E371" t="s">
        <v>82</v>
      </c>
      <c r="F371" s="2">
        <v>2015</v>
      </c>
      <c r="G371" t="s">
        <v>1340</v>
      </c>
      <c r="H371">
        <v>123</v>
      </c>
      <c r="I371">
        <v>8</v>
      </c>
      <c r="J371">
        <v>216225</v>
      </c>
      <c r="K371">
        <v>549.48</v>
      </c>
      <c r="L371" t="s">
        <v>140</v>
      </c>
      <c r="M371" t="s">
        <v>1320</v>
      </c>
      <c r="N371" t="s">
        <v>27</v>
      </c>
      <c r="O371" s="7" t="s">
        <v>39</v>
      </c>
    </row>
    <row r="372" spans="1:15" x14ac:dyDescent="0.3">
      <c r="A372" t="s">
        <v>865</v>
      </c>
      <c r="B372" t="s">
        <v>866</v>
      </c>
      <c r="C372" t="s">
        <v>39</v>
      </c>
      <c r="D372" t="s">
        <v>64</v>
      </c>
      <c r="E372" t="s">
        <v>41</v>
      </c>
      <c r="F372" s="2">
        <v>2020</v>
      </c>
      <c r="G372" t="s">
        <v>1329</v>
      </c>
      <c r="H372">
        <v>168</v>
      </c>
      <c r="I372">
        <v>7.5</v>
      </c>
      <c r="J372">
        <v>733209</v>
      </c>
      <c r="K372">
        <v>276.57</v>
      </c>
      <c r="L372" t="s">
        <v>140</v>
      </c>
      <c r="M372" t="s">
        <v>1335</v>
      </c>
      <c r="N372" t="s">
        <v>123</v>
      </c>
      <c r="O372" s="6" t="s">
        <v>144</v>
      </c>
    </row>
    <row r="373" spans="1:15" x14ac:dyDescent="0.3">
      <c r="A373" t="s">
        <v>867</v>
      </c>
      <c r="B373" t="s">
        <v>868</v>
      </c>
      <c r="C373" t="s">
        <v>86</v>
      </c>
      <c r="D373" t="s">
        <v>72</v>
      </c>
      <c r="E373" t="s">
        <v>92</v>
      </c>
      <c r="F373" s="2">
        <v>2018</v>
      </c>
      <c r="G373" t="s">
        <v>1331</v>
      </c>
      <c r="H373">
        <v>151</v>
      </c>
      <c r="I373">
        <v>7.6</v>
      </c>
      <c r="J373">
        <v>146384</v>
      </c>
      <c r="K373">
        <v>178.48</v>
      </c>
      <c r="L373" t="s">
        <v>43</v>
      </c>
      <c r="M373" t="s">
        <v>1333</v>
      </c>
      <c r="N373" t="s">
        <v>54</v>
      </c>
      <c r="O373" s="7" t="s">
        <v>39</v>
      </c>
    </row>
    <row r="374" spans="1:15" x14ac:dyDescent="0.3">
      <c r="A374" t="s">
        <v>869</v>
      </c>
      <c r="B374" t="s">
        <v>870</v>
      </c>
      <c r="C374" t="s">
        <v>39</v>
      </c>
      <c r="D374" t="s">
        <v>72</v>
      </c>
      <c r="E374" t="s">
        <v>41</v>
      </c>
      <c r="F374" s="2">
        <v>2019</v>
      </c>
      <c r="G374" t="s">
        <v>1314</v>
      </c>
      <c r="H374">
        <v>100</v>
      </c>
      <c r="I374">
        <v>6.6</v>
      </c>
      <c r="J374">
        <v>422860</v>
      </c>
      <c r="K374">
        <v>979.23</v>
      </c>
      <c r="L374" t="s">
        <v>89</v>
      </c>
      <c r="M374" t="s">
        <v>1338</v>
      </c>
      <c r="N374" t="s">
        <v>152</v>
      </c>
      <c r="O374" s="6" t="s">
        <v>39</v>
      </c>
    </row>
    <row r="375" spans="1:15" x14ac:dyDescent="0.3">
      <c r="A375" t="s">
        <v>871</v>
      </c>
      <c r="B375" t="s">
        <v>872</v>
      </c>
      <c r="C375" t="s">
        <v>30</v>
      </c>
      <c r="D375" t="s">
        <v>20</v>
      </c>
      <c r="E375" t="s">
        <v>31</v>
      </c>
      <c r="F375" s="2">
        <v>2022</v>
      </c>
      <c r="G375" t="s">
        <v>1316</v>
      </c>
      <c r="H375">
        <v>161</v>
      </c>
      <c r="I375">
        <v>7</v>
      </c>
      <c r="J375">
        <v>302899</v>
      </c>
      <c r="K375">
        <v>977.09</v>
      </c>
      <c r="L375" t="s">
        <v>43</v>
      </c>
      <c r="M375" t="s">
        <v>1337</v>
      </c>
      <c r="N375" t="s">
        <v>68</v>
      </c>
      <c r="O375" s="7" t="s">
        <v>63</v>
      </c>
    </row>
    <row r="376" spans="1:15" x14ac:dyDescent="0.3">
      <c r="A376" t="s">
        <v>873</v>
      </c>
      <c r="B376" t="s">
        <v>874</v>
      </c>
      <c r="C376" t="s">
        <v>63</v>
      </c>
      <c r="D376" t="s">
        <v>87</v>
      </c>
      <c r="E376" t="s">
        <v>82</v>
      </c>
      <c r="F376" s="2">
        <v>2016</v>
      </c>
      <c r="G376" t="s">
        <v>1326</v>
      </c>
      <c r="H376">
        <v>116</v>
      </c>
      <c r="I376">
        <v>7.3</v>
      </c>
      <c r="J376">
        <v>542248</v>
      </c>
      <c r="K376">
        <v>1063.55</v>
      </c>
      <c r="L376" t="s">
        <v>119</v>
      </c>
      <c r="M376" t="s">
        <v>1315</v>
      </c>
      <c r="N376" t="s">
        <v>27</v>
      </c>
      <c r="O376" s="6" t="s">
        <v>39</v>
      </c>
    </row>
    <row r="377" spans="1:15" x14ac:dyDescent="0.3">
      <c r="A377" t="s">
        <v>875</v>
      </c>
      <c r="B377" t="s">
        <v>876</v>
      </c>
      <c r="C377" t="s">
        <v>39</v>
      </c>
      <c r="D377" t="s">
        <v>64</v>
      </c>
      <c r="E377" t="s">
        <v>192</v>
      </c>
      <c r="F377" s="2">
        <v>2023</v>
      </c>
      <c r="G377" t="s">
        <v>1316</v>
      </c>
      <c r="H377">
        <v>119</v>
      </c>
      <c r="I377">
        <v>6.5</v>
      </c>
      <c r="J377">
        <v>495958</v>
      </c>
      <c r="K377">
        <v>280.62</v>
      </c>
      <c r="L377" t="s">
        <v>179</v>
      </c>
      <c r="M377" t="s">
        <v>1328</v>
      </c>
      <c r="N377" t="s">
        <v>68</v>
      </c>
      <c r="O377" s="7" t="s">
        <v>144</v>
      </c>
    </row>
    <row r="378" spans="1:15" x14ac:dyDescent="0.3">
      <c r="A378" t="s">
        <v>877</v>
      </c>
      <c r="B378" t="s">
        <v>878</v>
      </c>
      <c r="C378" t="s">
        <v>130</v>
      </c>
      <c r="D378" t="s">
        <v>20</v>
      </c>
      <c r="E378" t="s">
        <v>41</v>
      </c>
      <c r="F378" s="2">
        <v>2016</v>
      </c>
      <c r="G378" t="s">
        <v>1340</v>
      </c>
      <c r="H378">
        <v>129</v>
      </c>
      <c r="I378">
        <v>5.7</v>
      </c>
      <c r="J378">
        <v>644312</v>
      </c>
      <c r="K378">
        <v>559.28</v>
      </c>
      <c r="L378" t="s">
        <v>145</v>
      </c>
      <c r="M378" t="s">
        <v>1336</v>
      </c>
      <c r="N378" t="s">
        <v>68</v>
      </c>
      <c r="O378" s="6" t="s">
        <v>63</v>
      </c>
    </row>
    <row r="379" spans="1:15" x14ac:dyDescent="0.3">
      <c r="A379" t="s">
        <v>879</v>
      </c>
      <c r="B379" t="s">
        <v>880</v>
      </c>
      <c r="C379" t="s">
        <v>19</v>
      </c>
      <c r="D379" t="s">
        <v>87</v>
      </c>
      <c r="E379" t="s">
        <v>192</v>
      </c>
      <c r="F379" s="2">
        <v>2021</v>
      </c>
      <c r="G379" t="s">
        <v>1332</v>
      </c>
      <c r="H379">
        <v>180</v>
      </c>
      <c r="I379">
        <v>6.5</v>
      </c>
      <c r="J379">
        <v>704750</v>
      </c>
      <c r="K379">
        <v>1452.11</v>
      </c>
      <c r="L379" t="s">
        <v>133</v>
      </c>
      <c r="M379" t="s">
        <v>1321</v>
      </c>
      <c r="N379" t="s">
        <v>27</v>
      </c>
      <c r="O379" s="7" t="s">
        <v>86</v>
      </c>
    </row>
    <row r="380" spans="1:15" x14ac:dyDescent="0.3">
      <c r="A380" t="s">
        <v>881</v>
      </c>
      <c r="B380" t="s">
        <v>882</v>
      </c>
      <c r="C380" t="s">
        <v>39</v>
      </c>
      <c r="D380" t="s">
        <v>81</v>
      </c>
      <c r="E380" t="s">
        <v>82</v>
      </c>
      <c r="F380" s="2">
        <v>2019</v>
      </c>
      <c r="G380" t="s">
        <v>1325</v>
      </c>
      <c r="H380">
        <v>180</v>
      </c>
      <c r="I380">
        <v>7.1</v>
      </c>
      <c r="J380">
        <v>436486</v>
      </c>
      <c r="K380">
        <v>76.790000000000006</v>
      </c>
      <c r="L380" t="s">
        <v>101</v>
      </c>
      <c r="M380" t="s">
        <v>1328</v>
      </c>
      <c r="N380" t="s">
        <v>68</v>
      </c>
      <c r="O380" s="6" t="s">
        <v>39</v>
      </c>
    </row>
    <row r="381" spans="1:15" x14ac:dyDescent="0.3">
      <c r="A381" t="s">
        <v>883</v>
      </c>
      <c r="B381" t="s">
        <v>884</v>
      </c>
      <c r="C381" t="s">
        <v>130</v>
      </c>
      <c r="D381" t="s">
        <v>20</v>
      </c>
      <c r="E381" t="s">
        <v>41</v>
      </c>
      <c r="F381" s="2">
        <v>2020</v>
      </c>
      <c r="G381" t="s">
        <v>1314</v>
      </c>
      <c r="H381">
        <v>97</v>
      </c>
      <c r="I381">
        <v>7.7</v>
      </c>
      <c r="J381">
        <v>432868</v>
      </c>
      <c r="K381">
        <v>27.16</v>
      </c>
      <c r="L381" t="s">
        <v>89</v>
      </c>
      <c r="M381" t="s">
        <v>1339</v>
      </c>
      <c r="N381" t="s">
        <v>152</v>
      </c>
      <c r="O381" s="7" t="s">
        <v>86</v>
      </c>
    </row>
    <row r="382" spans="1:15" x14ac:dyDescent="0.3">
      <c r="A382" t="s">
        <v>885</v>
      </c>
      <c r="B382" t="s">
        <v>886</v>
      </c>
      <c r="C382" t="s">
        <v>39</v>
      </c>
      <c r="D382" t="s">
        <v>20</v>
      </c>
      <c r="E382" t="s">
        <v>31</v>
      </c>
      <c r="F382" s="2">
        <v>2020</v>
      </c>
      <c r="G382" t="s">
        <v>1334</v>
      </c>
      <c r="H382">
        <v>187</v>
      </c>
      <c r="I382">
        <v>6.8</v>
      </c>
      <c r="J382">
        <v>787125</v>
      </c>
      <c r="K382">
        <v>1224.75</v>
      </c>
      <c r="L382" t="s">
        <v>119</v>
      </c>
      <c r="M382" t="s">
        <v>1321</v>
      </c>
      <c r="N382" t="s">
        <v>36</v>
      </c>
      <c r="O382" s="6" t="s">
        <v>39</v>
      </c>
    </row>
    <row r="383" spans="1:15" x14ac:dyDescent="0.3">
      <c r="A383" t="s">
        <v>889</v>
      </c>
      <c r="B383" t="s">
        <v>890</v>
      </c>
      <c r="C383" t="s">
        <v>86</v>
      </c>
      <c r="D383" t="s">
        <v>87</v>
      </c>
      <c r="E383" t="s">
        <v>82</v>
      </c>
      <c r="F383" s="2">
        <v>2018</v>
      </c>
      <c r="G383" t="s">
        <v>1327</v>
      </c>
      <c r="H383">
        <v>141</v>
      </c>
      <c r="I383">
        <v>7.2</v>
      </c>
      <c r="J383">
        <v>848072</v>
      </c>
      <c r="K383">
        <v>967.48</v>
      </c>
      <c r="L383" t="s">
        <v>145</v>
      </c>
      <c r="M383" t="s">
        <v>1335</v>
      </c>
      <c r="N383" t="s">
        <v>152</v>
      </c>
      <c r="O383" s="7" t="s">
        <v>30</v>
      </c>
    </row>
    <row r="384" spans="1:15" x14ac:dyDescent="0.3">
      <c r="A384" t="s">
        <v>891</v>
      </c>
      <c r="B384" t="s">
        <v>892</v>
      </c>
      <c r="C384" t="s">
        <v>30</v>
      </c>
      <c r="D384" t="s">
        <v>20</v>
      </c>
      <c r="E384" t="s">
        <v>31</v>
      </c>
      <c r="F384" s="2">
        <v>2020</v>
      </c>
      <c r="G384" t="s">
        <v>1325</v>
      </c>
      <c r="H384">
        <v>189</v>
      </c>
      <c r="I384">
        <v>6.8</v>
      </c>
      <c r="J384">
        <v>456201</v>
      </c>
      <c r="K384">
        <v>696.5</v>
      </c>
      <c r="L384" t="s">
        <v>24</v>
      </c>
      <c r="M384" t="s">
        <v>1317</v>
      </c>
      <c r="N384" t="s">
        <v>152</v>
      </c>
      <c r="O384" s="6" t="s">
        <v>63</v>
      </c>
    </row>
    <row r="385" spans="1:15" x14ac:dyDescent="0.3">
      <c r="A385" t="s">
        <v>893</v>
      </c>
      <c r="B385" t="s">
        <v>894</v>
      </c>
      <c r="C385" t="s">
        <v>86</v>
      </c>
      <c r="D385" t="s">
        <v>215</v>
      </c>
      <c r="E385" t="s">
        <v>192</v>
      </c>
      <c r="F385" s="2">
        <v>2020</v>
      </c>
      <c r="G385" t="s">
        <v>1327</v>
      </c>
      <c r="H385">
        <v>144</v>
      </c>
      <c r="I385">
        <v>7.6</v>
      </c>
      <c r="J385">
        <v>237374</v>
      </c>
      <c r="K385">
        <v>1216.99</v>
      </c>
      <c r="L385" t="s">
        <v>119</v>
      </c>
      <c r="M385" t="s">
        <v>1335</v>
      </c>
      <c r="N385" t="s">
        <v>152</v>
      </c>
      <c r="O385" s="7" t="s">
        <v>39</v>
      </c>
    </row>
    <row r="386" spans="1:15" x14ac:dyDescent="0.3">
      <c r="A386" t="s">
        <v>895</v>
      </c>
      <c r="B386" t="s">
        <v>896</v>
      </c>
      <c r="C386" t="s">
        <v>112</v>
      </c>
      <c r="D386" t="s">
        <v>64</v>
      </c>
      <c r="E386" t="s">
        <v>92</v>
      </c>
      <c r="F386" s="2">
        <v>2015</v>
      </c>
      <c r="G386" t="s">
        <v>1340</v>
      </c>
      <c r="H386">
        <v>189</v>
      </c>
      <c r="I386">
        <v>7</v>
      </c>
      <c r="J386">
        <v>582342</v>
      </c>
      <c r="K386">
        <v>399.91</v>
      </c>
      <c r="L386" t="s">
        <v>140</v>
      </c>
      <c r="M386" t="s">
        <v>1342</v>
      </c>
      <c r="N386" t="s">
        <v>123</v>
      </c>
      <c r="O386" s="6" t="s">
        <v>130</v>
      </c>
    </row>
    <row r="387" spans="1:15" x14ac:dyDescent="0.3">
      <c r="A387" t="s">
        <v>897</v>
      </c>
      <c r="B387" t="s">
        <v>898</v>
      </c>
      <c r="C387" t="s">
        <v>116</v>
      </c>
      <c r="D387" t="s">
        <v>87</v>
      </c>
      <c r="E387" t="s">
        <v>41</v>
      </c>
      <c r="F387" s="2">
        <v>2018</v>
      </c>
      <c r="G387" t="s">
        <v>1334</v>
      </c>
      <c r="H387">
        <v>129</v>
      </c>
      <c r="I387">
        <v>6.4</v>
      </c>
      <c r="J387">
        <v>10860</v>
      </c>
      <c r="K387">
        <v>192.61</v>
      </c>
      <c r="L387" t="s">
        <v>119</v>
      </c>
      <c r="M387" t="s">
        <v>1343</v>
      </c>
      <c r="N387" t="s">
        <v>36</v>
      </c>
      <c r="O387" s="7" t="s">
        <v>19</v>
      </c>
    </row>
    <row r="388" spans="1:15" x14ac:dyDescent="0.3">
      <c r="A388" t="s">
        <v>899</v>
      </c>
      <c r="B388" t="s">
        <v>900</v>
      </c>
      <c r="C388" t="s">
        <v>86</v>
      </c>
      <c r="D388" t="s">
        <v>20</v>
      </c>
      <c r="E388" t="s">
        <v>41</v>
      </c>
      <c r="F388" s="2">
        <v>2024</v>
      </c>
      <c r="G388" t="s">
        <v>1326</v>
      </c>
      <c r="H388">
        <v>158</v>
      </c>
      <c r="I388">
        <v>7.8</v>
      </c>
      <c r="J388">
        <v>47172</v>
      </c>
      <c r="K388">
        <v>47.16</v>
      </c>
      <c r="L388" t="s">
        <v>109</v>
      </c>
      <c r="M388" t="s">
        <v>1328</v>
      </c>
      <c r="N388" t="s">
        <v>27</v>
      </c>
      <c r="O388" s="6" t="s">
        <v>39</v>
      </c>
    </row>
    <row r="389" spans="1:15" x14ac:dyDescent="0.3">
      <c r="A389" t="s">
        <v>901</v>
      </c>
      <c r="B389" t="s">
        <v>902</v>
      </c>
      <c r="C389" t="s">
        <v>63</v>
      </c>
      <c r="D389" t="s">
        <v>20</v>
      </c>
      <c r="E389" t="s">
        <v>41</v>
      </c>
      <c r="F389" s="2">
        <v>2015</v>
      </c>
      <c r="G389" t="s">
        <v>1319</v>
      </c>
      <c r="H389">
        <v>169</v>
      </c>
      <c r="I389">
        <v>6.7</v>
      </c>
      <c r="J389">
        <v>201081</v>
      </c>
      <c r="K389">
        <v>259.85000000000002</v>
      </c>
      <c r="L389" t="s">
        <v>145</v>
      </c>
      <c r="M389" t="s">
        <v>1324</v>
      </c>
      <c r="N389" t="s">
        <v>152</v>
      </c>
      <c r="O389" s="7" t="s">
        <v>130</v>
      </c>
    </row>
    <row r="390" spans="1:15" x14ac:dyDescent="0.3">
      <c r="A390" t="s">
        <v>903</v>
      </c>
      <c r="B390" t="s">
        <v>904</v>
      </c>
      <c r="C390" t="s">
        <v>39</v>
      </c>
      <c r="D390" t="s">
        <v>20</v>
      </c>
      <c r="E390" t="s">
        <v>31</v>
      </c>
      <c r="F390" s="2">
        <v>2016</v>
      </c>
      <c r="G390" t="s">
        <v>1327</v>
      </c>
      <c r="H390">
        <v>156</v>
      </c>
      <c r="I390">
        <v>8</v>
      </c>
      <c r="J390">
        <v>62406</v>
      </c>
      <c r="K390">
        <v>105.01</v>
      </c>
      <c r="L390" t="s">
        <v>66</v>
      </c>
      <c r="M390" t="s">
        <v>1324</v>
      </c>
      <c r="N390" t="s">
        <v>123</v>
      </c>
      <c r="O390" s="6" t="s">
        <v>39</v>
      </c>
    </row>
    <row r="391" spans="1:15" x14ac:dyDescent="0.3">
      <c r="A391" t="s">
        <v>905</v>
      </c>
      <c r="B391" t="s">
        <v>906</v>
      </c>
      <c r="C391" t="s">
        <v>30</v>
      </c>
      <c r="D391" t="s">
        <v>20</v>
      </c>
      <c r="E391" t="s">
        <v>31</v>
      </c>
      <c r="F391" s="2">
        <v>2015</v>
      </c>
      <c r="G391" t="s">
        <v>1331</v>
      </c>
      <c r="H391">
        <v>179</v>
      </c>
      <c r="I391">
        <v>7.2</v>
      </c>
      <c r="J391">
        <v>569332</v>
      </c>
      <c r="K391">
        <v>49.67</v>
      </c>
      <c r="L391" t="s">
        <v>83</v>
      </c>
      <c r="M391" t="s">
        <v>1323</v>
      </c>
      <c r="N391" t="s">
        <v>68</v>
      </c>
      <c r="O391" s="7" t="s">
        <v>116</v>
      </c>
    </row>
    <row r="392" spans="1:15" x14ac:dyDescent="0.3">
      <c r="A392" t="s">
        <v>907</v>
      </c>
      <c r="B392" t="s">
        <v>908</v>
      </c>
      <c r="C392" t="s">
        <v>130</v>
      </c>
      <c r="D392" t="s">
        <v>20</v>
      </c>
      <c r="E392" t="s">
        <v>139</v>
      </c>
      <c r="F392" s="2">
        <v>2025</v>
      </c>
      <c r="G392" t="s">
        <v>1319</v>
      </c>
      <c r="H392">
        <v>106</v>
      </c>
      <c r="I392">
        <v>6.2</v>
      </c>
      <c r="J392">
        <v>853847</v>
      </c>
      <c r="K392">
        <v>63.86</v>
      </c>
      <c r="L392" t="s">
        <v>101</v>
      </c>
      <c r="M392" t="s">
        <v>1318</v>
      </c>
      <c r="N392" t="s">
        <v>60</v>
      </c>
      <c r="O392" s="6" t="s">
        <v>86</v>
      </c>
    </row>
    <row r="393" spans="1:15" x14ac:dyDescent="0.3">
      <c r="A393" t="s">
        <v>909</v>
      </c>
      <c r="B393" t="s">
        <v>910</v>
      </c>
      <c r="C393" t="s">
        <v>39</v>
      </c>
      <c r="D393" t="s">
        <v>40</v>
      </c>
      <c r="E393" t="s">
        <v>41</v>
      </c>
      <c r="F393" s="2">
        <v>2019</v>
      </c>
      <c r="G393" t="s">
        <v>1316</v>
      </c>
      <c r="H393">
        <v>87</v>
      </c>
      <c r="I393">
        <v>6.1</v>
      </c>
      <c r="J393">
        <v>782832</v>
      </c>
      <c r="K393">
        <v>72.25</v>
      </c>
      <c r="L393" t="s">
        <v>34</v>
      </c>
      <c r="M393" t="s">
        <v>1338</v>
      </c>
      <c r="N393" t="s">
        <v>152</v>
      </c>
      <c r="O393" s="7" t="s">
        <v>30</v>
      </c>
    </row>
    <row r="394" spans="1:15" x14ac:dyDescent="0.3">
      <c r="A394" t="s">
        <v>911</v>
      </c>
      <c r="B394" t="s">
        <v>912</v>
      </c>
      <c r="C394" t="s">
        <v>86</v>
      </c>
      <c r="D394" t="s">
        <v>72</v>
      </c>
      <c r="E394" t="s">
        <v>88</v>
      </c>
      <c r="F394" s="2">
        <v>2016</v>
      </c>
      <c r="G394" t="s">
        <v>1316</v>
      </c>
      <c r="H394">
        <v>133</v>
      </c>
      <c r="I394">
        <v>6.1</v>
      </c>
      <c r="J394">
        <v>915893</v>
      </c>
      <c r="K394">
        <v>365.13</v>
      </c>
      <c r="L394" t="s">
        <v>83</v>
      </c>
      <c r="M394" t="s">
        <v>1330</v>
      </c>
      <c r="N394" t="s">
        <v>54</v>
      </c>
      <c r="O394" s="6" t="s">
        <v>86</v>
      </c>
    </row>
    <row r="395" spans="1:15" x14ac:dyDescent="0.3">
      <c r="A395" t="s">
        <v>913</v>
      </c>
      <c r="B395" t="s">
        <v>914</v>
      </c>
      <c r="C395" t="s">
        <v>63</v>
      </c>
      <c r="D395" t="s">
        <v>20</v>
      </c>
      <c r="E395" t="s">
        <v>88</v>
      </c>
      <c r="F395" s="2">
        <v>2024</v>
      </c>
      <c r="G395" t="s">
        <v>1331</v>
      </c>
      <c r="H395">
        <v>168</v>
      </c>
      <c r="I395">
        <v>7</v>
      </c>
      <c r="J395">
        <v>338702</v>
      </c>
      <c r="K395">
        <v>441.41</v>
      </c>
      <c r="L395" t="s">
        <v>101</v>
      </c>
      <c r="M395" t="s">
        <v>1323</v>
      </c>
      <c r="N395" t="s">
        <v>123</v>
      </c>
      <c r="O395" s="7" t="s">
        <v>112</v>
      </c>
    </row>
    <row r="396" spans="1:15" x14ac:dyDescent="0.3">
      <c r="A396" t="s">
        <v>915</v>
      </c>
      <c r="B396" t="s">
        <v>916</v>
      </c>
      <c r="C396" t="s">
        <v>116</v>
      </c>
      <c r="D396" t="s">
        <v>87</v>
      </c>
      <c r="E396" t="s">
        <v>82</v>
      </c>
      <c r="F396" s="2">
        <v>2023</v>
      </c>
      <c r="G396" t="s">
        <v>1334</v>
      </c>
      <c r="H396">
        <v>179</v>
      </c>
      <c r="I396">
        <v>7.5</v>
      </c>
      <c r="J396">
        <v>927407</v>
      </c>
      <c r="K396">
        <v>694.05</v>
      </c>
      <c r="L396" t="s">
        <v>83</v>
      </c>
      <c r="M396" t="s">
        <v>1341</v>
      </c>
      <c r="N396" t="s">
        <v>36</v>
      </c>
      <c r="O396" s="6" t="s">
        <v>116</v>
      </c>
    </row>
    <row r="397" spans="1:15" x14ac:dyDescent="0.3">
      <c r="A397" t="s">
        <v>917</v>
      </c>
      <c r="B397" t="s">
        <v>918</v>
      </c>
      <c r="C397" t="s">
        <v>39</v>
      </c>
      <c r="D397" t="s">
        <v>20</v>
      </c>
      <c r="E397" t="s">
        <v>192</v>
      </c>
      <c r="F397" s="2">
        <v>2019</v>
      </c>
      <c r="G397" t="s">
        <v>1316</v>
      </c>
      <c r="H397">
        <v>111</v>
      </c>
      <c r="I397">
        <v>6.9</v>
      </c>
      <c r="J397">
        <v>503910</v>
      </c>
      <c r="K397">
        <v>624.44000000000005</v>
      </c>
      <c r="L397" t="s">
        <v>140</v>
      </c>
      <c r="M397" t="s">
        <v>1342</v>
      </c>
      <c r="N397" t="s">
        <v>123</v>
      </c>
      <c r="O397" s="7" t="s">
        <v>86</v>
      </c>
    </row>
    <row r="398" spans="1:15" x14ac:dyDescent="0.3">
      <c r="A398" t="s">
        <v>919</v>
      </c>
      <c r="B398" t="s">
        <v>920</v>
      </c>
      <c r="C398" t="s">
        <v>19</v>
      </c>
      <c r="D398" t="s">
        <v>40</v>
      </c>
      <c r="E398" t="s">
        <v>41</v>
      </c>
      <c r="F398" s="2">
        <v>2023</v>
      </c>
      <c r="G398" t="s">
        <v>1316</v>
      </c>
      <c r="H398">
        <v>92</v>
      </c>
      <c r="I398">
        <v>8.8000000000000007</v>
      </c>
      <c r="J398">
        <v>801964</v>
      </c>
      <c r="K398">
        <v>565.49</v>
      </c>
      <c r="L398" t="s">
        <v>34</v>
      </c>
      <c r="M398" t="s">
        <v>1333</v>
      </c>
      <c r="N398" t="s">
        <v>36</v>
      </c>
      <c r="O398" s="6" t="s">
        <v>63</v>
      </c>
    </row>
    <row r="399" spans="1:15" x14ac:dyDescent="0.3">
      <c r="A399" t="s">
        <v>921</v>
      </c>
      <c r="B399" t="s">
        <v>922</v>
      </c>
      <c r="C399" t="s">
        <v>116</v>
      </c>
      <c r="D399" t="s">
        <v>20</v>
      </c>
      <c r="E399" t="s">
        <v>31</v>
      </c>
      <c r="F399" s="2">
        <v>2015</v>
      </c>
      <c r="G399" t="s">
        <v>1319</v>
      </c>
      <c r="H399">
        <v>145</v>
      </c>
      <c r="I399">
        <v>7.2</v>
      </c>
      <c r="J399">
        <v>46449</v>
      </c>
      <c r="K399">
        <v>1177.0899999999999</v>
      </c>
      <c r="L399" t="s">
        <v>24</v>
      </c>
      <c r="M399" t="s">
        <v>1317</v>
      </c>
      <c r="N399" t="s">
        <v>68</v>
      </c>
      <c r="O399" s="7" t="s">
        <v>39</v>
      </c>
    </row>
    <row r="400" spans="1:15" x14ac:dyDescent="0.3">
      <c r="A400" t="s">
        <v>923</v>
      </c>
      <c r="B400" t="s">
        <v>924</v>
      </c>
      <c r="C400" t="s">
        <v>116</v>
      </c>
      <c r="D400" t="s">
        <v>64</v>
      </c>
      <c r="E400" t="s">
        <v>88</v>
      </c>
      <c r="F400" s="2">
        <v>2015</v>
      </c>
      <c r="G400" t="s">
        <v>1327</v>
      </c>
      <c r="H400">
        <v>104</v>
      </c>
      <c r="I400">
        <v>7.8</v>
      </c>
      <c r="J400">
        <v>658724</v>
      </c>
      <c r="K400">
        <v>223.37</v>
      </c>
      <c r="L400" t="s">
        <v>109</v>
      </c>
      <c r="M400" t="s">
        <v>1341</v>
      </c>
      <c r="N400" t="s">
        <v>27</v>
      </c>
      <c r="O400" s="6" t="s">
        <v>30</v>
      </c>
    </row>
    <row r="401" spans="1:15" x14ac:dyDescent="0.3">
      <c r="A401" t="s">
        <v>925</v>
      </c>
      <c r="B401" t="s">
        <v>926</v>
      </c>
      <c r="C401" t="s">
        <v>39</v>
      </c>
      <c r="D401" t="s">
        <v>20</v>
      </c>
      <c r="E401" t="s">
        <v>41</v>
      </c>
      <c r="F401" s="2">
        <v>2020</v>
      </c>
      <c r="G401" t="s">
        <v>1332</v>
      </c>
      <c r="H401">
        <v>141</v>
      </c>
      <c r="I401">
        <v>6.7</v>
      </c>
      <c r="J401">
        <v>381103</v>
      </c>
      <c r="K401">
        <v>143.69999999999999</v>
      </c>
      <c r="L401" t="s">
        <v>73</v>
      </c>
      <c r="M401" t="s">
        <v>1341</v>
      </c>
      <c r="N401" t="s">
        <v>36</v>
      </c>
      <c r="O401" s="7" t="s">
        <v>130</v>
      </c>
    </row>
    <row r="402" spans="1:15" x14ac:dyDescent="0.3">
      <c r="A402" t="s">
        <v>927</v>
      </c>
      <c r="B402" t="s">
        <v>928</v>
      </c>
      <c r="C402" t="s">
        <v>39</v>
      </c>
      <c r="D402" t="s">
        <v>40</v>
      </c>
      <c r="E402" t="s">
        <v>41</v>
      </c>
      <c r="F402" s="2">
        <v>2021</v>
      </c>
      <c r="G402" t="s">
        <v>1316</v>
      </c>
      <c r="H402">
        <v>90</v>
      </c>
      <c r="I402">
        <v>6.1</v>
      </c>
      <c r="J402">
        <v>585591</v>
      </c>
      <c r="K402">
        <v>581.22</v>
      </c>
      <c r="L402" t="s">
        <v>179</v>
      </c>
      <c r="M402" t="s">
        <v>1343</v>
      </c>
      <c r="N402" t="s">
        <v>27</v>
      </c>
      <c r="O402" s="6" t="s">
        <v>39</v>
      </c>
    </row>
    <row r="403" spans="1:15" x14ac:dyDescent="0.3">
      <c r="A403" t="s">
        <v>929</v>
      </c>
      <c r="B403" t="s">
        <v>930</v>
      </c>
      <c r="C403" t="s">
        <v>48</v>
      </c>
      <c r="D403" t="s">
        <v>20</v>
      </c>
      <c r="E403" t="s">
        <v>41</v>
      </c>
      <c r="F403" s="2">
        <v>2025</v>
      </c>
      <c r="G403" t="s">
        <v>1326</v>
      </c>
      <c r="H403">
        <v>87</v>
      </c>
      <c r="I403">
        <v>5.7</v>
      </c>
      <c r="J403">
        <v>30046</v>
      </c>
      <c r="K403">
        <v>984.23</v>
      </c>
      <c r="L403" t="s">
        <v>179</v>
      </c>
      <c r="M403" t="s">
        <v>1343</v>
      </c>
      <c r="N403" t="s">
        <v>60</v>
      </c>
      <c r="O403" s="7" t="s">
        <v>86</v>
      </c>
    </row>
    <row r="404" spans="1:15" x14ac:dyDescent="0.3">
      <c r="A404" t="s">
        <v>933</v>
      </c>
      <c r="B404" t="s">
        <v>934</v>
      </c>
      <c r="C404" t="s">
        <v>144</v>
      </c>
      <c r="D404" t="s">
        <v>215</v>
      </c>
      <c r="E404" t="s">
        <v>41</v>
      </c>
      <c r="F404" s="2">
        <v>2015</v>
      </c>
      <c r="G404" t="s">
        <v>1325</v>
      </c>
      <c r="H404">
        <v>95</v>
      </c>
      <c r="I404">
        <v>7.8</v>
      </c>
      <c r="J404">
        <v>885322</v>
      </c>
      <c r="K404">
        <v>334.66</v>
      </c>
      <c r="L404" t="s">
        <v>52</v>
      </c>
      <c r="M404" t="s">
        <v>1341</v>
      </c>
      <c r="N404" t="s">
        <v>60</v>
      </c>
      <c r="O404" s="6" t="s">
        <v>63</v>
      </c>
    </row>
    <row r="405" spans="1:15" x14ac:dyDescent="0.3">
      <c r="A405" t="s">
        <v>935</v>
      </c>
      <c r="B405" t="s">
        <v>936</v>
      </c>
      <c r="C405" t="s">
        <v>86</v>
      </c>
      <c r="D405" t="s">
        <v>87</v>
      </c>
      <c r="E405" t="s">
        <v>82</v>
      </c>
      <c r="F405" s="2">
        <v>2021</v>
      </c>
      <c r="G405" t="s">
        <v>1319</v>
      </c>
      <c r="H405">
        <v>131</v>
      </c>
      <c r="I405">
        <v>6.8</v>
      </c>
      <c r="J405">
        <v>366027</v>
      </c>
      <c r="K405">
        <v>153.05000000000001</v>
      </c>
      <c r="L405" t="s">
        <v>52</v>
      </c>
      <c r="M405" t="s">
        <v>1343</v>
      </c>
      <c r="N405" t="s">
        <v>54</v>
      </c>
      <c r="O405" s="7" t="s">
        <v>116</v>
      </c>
    </row>
    <row r="406" spans="1:15" x14ac:dyDescent="0.3">
      <c r="A406" t="s">
        <v>937</v>
      </c>
      <c r="B406" t="s">
        <v>938</v>
      </c>
      <c r="C406" t="s">
        <v>30</v>
      </c>
      <c r="D406" t="s">
        <v>20</v>
      </c>
      <c r="E406" t="s">
        <v>88</v>
      </c>
      <c r="F406" s="2">
        <v>2022</v>
      </c>
      <c r="G406" t="s">
        <v>1327</v>
      </c>
      <c r="H406">
        <v>95</v>
      </c>
      <c r="I406">
        <v>7.1</v>
      </c>
      <c r="J406">
        <v>338558</v>
      </c>
      <c r="K406">
        <v>189.56</v>
      </c>
      <c r="L406" t="s">
        <v>83</v>
      </c>
      <c r="M406" t="s">
        <v>1335</v>
      </c>
      <c r="N406" t="s">
        <v>27</v>
      </c>
      <c r="O406" s="6" t="s">
        <v>39</v>
      </c>
    </row>
    <row r="407" spans="1:15" x14ac:dyDescent="0.3">
      <c r="A407" t="s">
        <v>939</v>
      </c>
      <c r="B407" t="s">
        <v>940</v>
      </c>
      <c r="C407" t="s">
        <v>144</v>
      </c>
      <c r="D407" t="s">
        <v>20</v>
      </c>
      <c r="E407" t="s">
        <v>49</v>
      </c>
      <c r="F407" s="2">
        <v>2018</v>
      </c>
      <c r="G407" t="s">
        <v>1340</v>
      </c>
      <c r="H407">
        <v>175</v>
      </c>
      <c r="I407">
        <v>7</v>
      </c>
      <c r="J407">
        <v>617766</v>
      </c>
      <c r="K407">
        <v>666.16</v>
      </c>
      <c r="L407" t="s">
        <v>140</v>
      </c>
      <c r="M407" t="s">
        <v>1321</v>
      </c>
      <c r="N407" t="s">
        <v>123</v>
      </c>
      <c r="O407" s="7" t="s">
        <v>19</v>
      </c>
    </row>
    <row r="408" spans="1:15" x14ac:dyDescent="0.3">
      <c r="A408" t="s">
        <v>941</v>
      </c>
      <c r="B408" t="s">
        <v>942</v>
      </c>
      <c r="C408" t="s">
        <v>39</v>
      </c>
      <c r="D408" t="s">
        <v>40</v>
      </c>
      <c r="E408" t="s">
        <v>41</v>
      </c>
      <c r="F408" s="2">
        <v>2020</v>
      </c>
      <c r="G408" t="s">
        <v>1340</v>
      </c>
      <c r="H408">
        <v>180</v>
      </c>
      <c r="I408">
        <v>7.1</v>
      </c>
      <c r="J408">
        <v>705800</v>
      </c>
      <c r="K408">
        <v>224.71</v>
      </c>
      <c r="L408" t="s">
        <v>43</v>
      </c>
      <c r="M408" t="s">
        <v>1337</v>
      </c>
      <c r="N408" t="s">
        <v>152</v>
      </c>
      <c r="O408" s="6" t="s">
        <v>116</v>
      </c>
    </row>
    <row r="409" spans="1:15" x14ac:dyDescent="0.3">
      <c r="A409" t="s">
        <v>943</v>
      </c>
      <c r="B409" t="s">
        <v>944</v>
      </c>
      <c r="C409" t="s">
        <v>86</v>
      </c>
      <c r="D409" t="s">
        <v>87</v>
      </c>
      <c r="E409" t="s">
        <v>88</v>
      </c>
      <c r="F409" s="2">
        <v>2023</v>
      </c>
      <c r="G409" t="s">
        <v>1316</v>
      </c>
      <c r="H409">
        <v>126</v>
      </c>
      <c r="I409">
        <v>7</v>
      </c>
      <c r="J409">
        <v>55429</v>
      </c>
      <c r="K409">
        <v>327.12</v>
      </c>
      <c r="L409" t="s">
        <v>52</v>
      </c>
      <c r="M409" t="s">
        <v>1330</v>
      </c>
      <c r="N409" t="s">
        <v>27</v>
      </c>
      <c r="O409" s="7" t="s">
        <v>116</v>
      </c>
    </row>
    <row r="410" spans="1:15" x14ac:dyDescent="0.3">
      <c r="A410" t="s">
        <v>945</v>
      </c>
      <c r="B410" t="s">
        <v>946</v>
      </c>
      <c r="C410" t="s">
        <v>86</v>
      </c>
      <c r="D410" t="s">
        <v>87</v>
      </c>
      <c r="E410" t="s">
        <v>82</v>
      </c>
      <c r="F410" s="2">
        <v>2016</v>
      </c>
      <c r="G410" t="s">
        <v>1319</v>
      </c>
      <c r="H410">
        <v>97</v>
      </c>
      <c r="I410">
        <v>6.8</v>
      </c>
      <c r="J410">
        <v>278170</v>
      </c>
      <c r="K410">
        <v>1150.19</v>
      </c>
      <c r="L410" t="s">
        <v>66</v>
      </c>
      <c r="M410" t="s">
        <v>1341</v>
      </c>
      <c r="N410" t="s">
        <v>60</v>
      </c>
      <c r="O410" s="6" t="s">
        <v>39</v>
      </c>
    </row>
    <row r="411" spans="1:15" x14ac:dyDescent="0.3">
      <c r="A411" t="s">
        <v>947</v>
      </c>
      <c r="B411" t="s">
        <v>948</v>
      </c>
      <c r="C411" t="s">
        <v>71</v>
      </c>
      <c r="D411" t="s">
        <v>64</v>
      </c>
      <c r="E411" t="s">
        <v>88</v>
      </c>
      <c r="F411" s="2">
        <v>2022</v>
      </c>
      <c r="G411" t="s">
        <v>1334</v>
      </c>
      <c r="H411">
        <v>122</v>
      </c>
      <c r="I411">
        <v>6</v>
      </c>
      <c r="J411">
        <v>409726</v>
      </c>
      <c r="K411">
        <v>587.08000000000004</v>
      </c>
      <c r="L411" t="s">
        <v>145</v>
      </c>
      <c r="M411" t="s">
        <v>1336</v>
      </c>
      <c r="N411" t="s">
        <v>60</v>
      </c>
      <c r="O411" s="7" t="s">
        <v>39</v>
      </c>
    </row>
    <row r="412" spans="1:15" x14ac:dyDescent="0.3">
      <c r="A412" t="s">
        <v>949</v>
      </c>
      <c r="B412" t="s">
        <v>950</v>
      </c>
      <c r="C412" t="s">
        <v>86</v>
      </c>
      <c r="D412" t="s">
        <v>20</v>
      </c>
      <c r="E412" t="s">
        <v>41</v>
      </c>
      <c r="F412" s="2">
        <v>2024</v>
      </c>
      <c r="G412" t="s">
        <v>1326</v>
      </c>
      <c r="H412">
        <v>157</v>
      </c>
      <c r="I412">
        <v>6</v>
      </c>
      <c r="J412">
        <v>449912</v>
      </c>
      <c r="K412">
        <v>127.01</v>
      </c>
      <c r="L412" t="s">
        <v>24</v>
      </c>
      <c r="M412" t="s">
        <v>1315</v>
      </c>
      <c r="N412" t="s">
        <v>68</v>
      </c>
      <c r="O412" s="6" t="s">
        <v>48</v>
      </c>
    </row>
    <row r="413" spans="1:15" x14ac:dyDescent="0.3">
      <c r="A413" t="s">
        <v>951</v>
      </c>
      <c r="B413" t="s">
        <v>952</v>
      </c>
      <c r="C413" t="s">
        <v>144</v>
      </c>
      <c r="D413" t="s">
        <v>20</v>
      </c>
      <c r="E413" t="s">
        <v>41</v>
      </c>
      <c r="F413" s="2">
        <v>2025</v>
      </c>
      <c r="G413" t="s">
        <v>1331</v>
      </c>
      <c r="H413">
        <v>87</v>
      </c>
      <c r="I413">
        <v>7.4</v>
      </c>
      <c r="J413">
        <v>53835</v>
      </c>
      <c r="K413">
        <v>479.4</v>
      </c>
      <c r="L413" t="s">
        <v>52</v>
      </c>
      <c r="M413" t="s">
        <v>1339</v>
      </c>
      <c r="N413" t="s">
        <v>68</v>
      </c>
      <c r="O413" s="7" t="s">
        <v>116</v>
      </c>
    </row>
    <row r="414" spans="1:15" x14ac:dyDescent="0.3">
      <c r="A414" t="s">
        <v>953</v>
      </c>
      <c r="B414" t="s">
        <v>954</v>
      </c>
      <c r="C414" t="s">
        <v>112</v>
      </c>
      <c r="D414" t="s">
        <v>87</v>
      </c>
      <c r="E414" t="s">
        <v>41</v>
      </c>
      <c r="F414" s="2">
        <v>2022</v>
      </c>
      <c r="G414" t="s">
        <v>1327</v>
      </c>
      <c r="H414">
        <v>137</v>
      </c>
      <c r="I414">
        <v>7.7</v>
      </c>
      <c r="J414">
        <v>462894</v>
      </c>
      <c r="K414">
        <v>34.21</v>
      </c>
      <c r="L414" t="s">
        <v>73</v>
      </c>
      <c r="M414" t="s">
        <v>1328</v>
      </c>
      <c r="N414" t="s">
        <v>123</v>
      </c>
      <c r="O414" s="6" t="s">
        <v>144</v>
      </c>
    </row>
    <row r="415" spans="1:15" x14ac:dyDescent="0.3">
      <c r="A415" t="s">
        <v>955</v>
      </c>
      <c r="B415" t="s">
        <v>956</v>
      </c>
      <c r="C415" t="s">
        <v>112</v>
      </c>
      <c r="D415" t="s">
        <v>87</v>
      </c>
      <c r="E415" t="s">
        <v>88</v>
      </c>
      <c r="F415" s="2">
        <v>2017</v>
      </c>
      <c r="G415" t="s">
        <v>1316</v>
      </c>
      <c r="H415">
        <v>86</v>
      </c>
      <c r="I415">
        <v>8.1999999999999993</v>
      </c>
      <c r="J415">
        <v>549210</v>
      </c>
      <c r="K415">
        <v>822.11</v>
      </c>
      <c r="L415" t="s">
        <v>133</v>
      </c>
      <c r="M415" t="s">
        <v>1324</v>
      </c>
      <c r="N415" t="s">
        <v>123</v>
      </c>
      <c r="O415" s="7" t="s">
        <v>86</v>
      </c>
    </row>
    <row r="416" spans="1:15" x14ac:dyDescent="0.3">
      <c r="A416" t="s">
        <v>957</v>
      </c>
      <c r="B416" t="s">
        <v>958</v>
      </c>
      <c r="C416" t="s">
        <v>48</v>
      </c>
      <c r="D416" t="s">
        <v>20</v>
      </c>
      <c r="E416" t="s">
        <v>41</v>
      </c>
      <c r="F416" s="2">
        <v>2016</v>
      </c>
      <c r="G416" t="s">
        <v>1340</v>
      </c>
      <c r="H416">
        <v>143</v>
      </c>
      <c r="I416">
        <v>7.1</v>
      </c>
      <c r="J416">
        <v>648536</v>
      </c>
      <c r="K416">
        <v>627.80999999999995</v>
      </c>
      <c r="L416" t="s">
        <v>179</v>
      </c>
      <c r="M416" t="s">
        <v>1336</v>
      </c>
      <c r="N416" t="s">
        <v>36</v>
      </c>
      <c r="O416" s="6" t="s">
        <v>30</v>
      </c>
    </row>
    <row r="417" spans="1:15" x14ac:dyDescent="0.3">
      <c r="A417" t="s">
        <v>959</v>
      </c>
      <c r="B417" t="s">
        <v>960</v>
      </c>
      <c r="C417" t="s">
        <v>63</v>
      </c>
      <c r="D417" t="s">
        <v>57</v>
      </c>
      <c r="E417" t="s">
        <v>208</v>
      </c>
      <c r="F417" s="2">
        <v>2016</v>
      </c>
      <c r="G417" t="s">
        <v>1327</v>
      </c>
      <c r="H417">
        <v>105</v>
      </c>
      <c r="I417">
        <v>7.4</v>
      </c>
      <c r="J417">
        <v>739736</v>
      </c>
      <c r="K417">
        <v>187.1</v>
      </c>
      <c r="L417" t="s">
        <v>133</v>
      </c>
      <c r="M417" t="s">
        <v>1338</v>
      </c>
      <c r="N417" t="s">
        <v>54</v>
      </c>
      <c r="O417" s="7" t="s">
        <v>144</v>
      </c>
    </row>
    <row r="418" spans="1:15" x14ac:dyDescent="0.3">
      <c r="A418" t="s">
        <v>961</v>
      </c>
      <c r="B418" t="s">
        <v>962</v>
      </c>
      <c r="C418" t="s">
        <v>144</v>
      </c>
      <c r="D418" t="s">
        <v>20</v>
      </c>
      <c r="E418" t="s">
        <v>88</v>
      </c>
      <c r="F418" s="2">
        <v>2023</v>
      </c>
      <c r="G418" t="s">
        <v>1319</v>
      </c>
      <c r="H418">
        <v>119</v>
      </c>
      <c r="I418">
        <v>7.5</v>
      </c>
      <c r="J418">
        <v>22193</v>
      </c>
      <c r="K418">
        <v>827.52</v>
      </c>
      <c r="L418" t="s">
        <v>109</v>
      </c>
      <c r="M418" t="s">
        <v>1341</v>
      </c>
      <c r="N418" t="s">
        <v>60</v>
      </c>
      <c r="O418" s="6" t="s">
        <v>39</v>
      </c>
    </row>
    <row r="419" spans="1:15" x14ac:dyDescent="0.3">
      <c r="A419" t="s">
        <v>963</v>
      </c>
      <c r="B419" t="s">
        <v>964</v>
      </c>
      <c r="C419" t="s">
        <v>48</v>
      </c>
      <c r="D419" t="s">
        <v>57</v>
      </c>
      <c r="E419" t="s">
        <v>41</v>
      </c>
      <c r="F419" s="2">
        <v>2023</v>
      </c>
      <c r="G419" t="s">
        <v>1331</v>
      </c>
      <c r="H419">
        <v>173</v>
      </c>
      <c r="I419">
        <v>7.5</v>
      </c>
      <c r="J419">
        <v>872603</v>
      </c>
      <c r="K419">
        <v>1540.97</v>
      </c>
      <c r="L419" t="s">
        <v>109</v>
      </c>
      <c r="M419" t="s">
        <v>1321</v>
      </c>
      <c r="N419" t="s">
        <v>152</v>
      </c>
      <c r="O419" s="7" t="s">
        <v>86</v>
      </c>
    </row>
    <row r="420" spans="1:15" x14ac:dyDescent="0.3">
      <c r="A420" t="s">
        <v>965</v>
      </c>
      <c r="B420" t="s">
        <v>966</v>
      </c>
      <c r="C420" t="s">
        <v>48</v>
      </c>
      <c r="D420" t="s">
        <v>215</v>
      </c>
      <c r="E420" t="s">
        <v>31</v>
      </c>
      <c r="F420" s="2">
        <v>2020</v>
      </c>
      <c r="G420" t="s">
        <v>1319</v>
      </c>
      <c r="H420">
        <v>110</v>
      </c>
      <c r="I420">
        <v>7.2</v>
      </c>
      <c r="J420">
        <v>242038</v>
      </c>
      <c r="K420">
        <v>582.66</v>
      </c>
      <c r="L420" t="s">
        <v>179</v>
      </c>
      <c r="M420" t="s">
        <v>1315</v>
      </c>
      <c r="N420" t="s">
        <v>27</v>
      </c>
      <c r="O420" s="6" t="s">
        <v>86</v>
      </c>
    </row>
    <row r="421" spans="1:15" x14ac:dyDescent="0.3">
      <c r="A421" t="s">
        <v>967</v>
      </c>
      <c r="B421" t="s">
        <v>968</v>
      </c>
      <c r="C421" t="s">
        <v>130</v>
      </c>
      <c r="D421" t="s">
        <v>20</v>
      </c>
      <c r="E421" t="s">
        <v>49</v>
      </c>
      <c r="F421" s="2">
        <v>2025</v>
      </c>
      <c r="G421" t="s">
        <v>1322</v>
      </c>
      <c r="H421">
        <v>90</v>
      </c>
      <c r="I421">
        <v>8</v>
      </c>
      <c r="J421">
        <v>105211</v>
      </c>
      <c r="K421">
        <v>1007.58</v>
      </c>
      <c r="L421" t="s">
        <v>43</v>
      </c>
      <c r="M421" t="s">
        <v>1333</v>
      </c>
      <c r="N421" t="s">
        <v>27</v>
      </c>
      <c r="O421" s="7" t="s">
        <v>71</v>
      </c>
    </row>
    <row r="422" spans="1:15" x14ac:dyDescent="0.3">
      <c r="A422" t="s">
        <v>969</v>
      </c>
      <c r="B422" t="s">
        <v>970</v>
      </c>
      <c r="C422" t="s">
        <v>144</v>
      </c>
      <c r="D422" t="s">
        <v>20</v>
      </c>
      <c r="E422" t="s">
        <v>88</v>
      </c>
      <c r="F422" s="2">
        <v>2022</v>
      </c>
      <c r="G422" t="s">
        <v>1314</v>
      </c>
      <c r="H422">
        <v>156</v>
      </c>
      <c r="I422">
        <v>7.7</v>
      </c>
      <c r="J422">
        <v>411196</v>
      </c>
      <c r="K422">
        <v>320.44</v>
      </c>
      <c r="L422" t="s">
        <v>83</v>
      </c>
      <c r="M422" t="s">
        <v>1324</v>
      </c>
      <c r="N422" t="s">
        <v>54</v>
      </c>
      <c r="O422" s="6" t="s">
        <v>86</v>
      </c>
    </row>
    <row r="423" spans="1:15" x14ac:dyDescent="0.3">
      <c r="A423" t="s">
        <v>971</v>
      </c>
      <c r="B423" t="s">
        <v>972</v>
      </c>
      <c r="C423" t="s">
        <v>19</v>
      </c>
      <c r="D423" t="s">
        <v>20</v>
      </c>
      <c r="E423" t="s">
        <v>192</v>
      </c>
      <c r="F423" s="2">
        <v>2019</v>
      </c>
      <c r="G423" t="s">
        <v>1340</v>
      </c>
      <c r="H423">
        <v>105</v>
      </c>
      <c r="I423">
        <v>7.4</v>
      </c>
      <c r="J423">
        <v>269703</v>
      </c>
      <c r="K423">
        <v>410.53</v>
      </c>
      <c r="L423" t="s">
        <v>43</v>
      </c>
      <c r="M423" t="s">
        <v>1330</v>
      </c>
      <c r="N423" t="s">
        <v>152</v>
      </c>
      <c r="O423" s="7" t="s">
        <v>144</v>
      </c>
    </row>
    <row r="424" spans="1:15" x14ac:dyDescent="0.3">
      <c r="A424" t="s">
        <v>973</v>
      </c>
      <c r="B424" t="s">
        <v>974</v>
      </c>
      <c r="C424" t="s">
        <v>39</v>
      </c>
      <c r="D424" t="s">
        <v>57</v>
      </c>
      <c r="E424" t="s">
        <v>88</v>
      </c>
      <c r="F424" s="2">
        <v>2019</v>
      </c>
      <c r="G424" t="s">
        <v>1322</v>
      </c>
      <c r="H424">
        <v>121</v>
      </c>
      <c r="I424">
        <v>6.4</v>
      </c>
      <c r="J424">
        <v>749631</v>
      </c>
      <c r="K424">
        <v>151</v>
      </c>
      <c r="L424" t="s">
        <v>24</v>
      </c>
      <c r="M424" t="s">
        <v>1323</v>
      </c>
      <c r="N424" t="s">
        <v>36</v>
      </c>
      <c r="O424" s="6" t="s">
        <v>112</v>
      </c>
    </row>
    <row r="425" spans="1:15" x14ac:dyDescent="0.3">
      <c r="A425" t="s">
        <v>975</v>
      </c>
      <c r="B425" t="s">
        <v>976</v>
      </c>
      <c r="C425" t="s">
        <v>30</v>
      </c>
      <c r="D425" t="s">
        <v>20</v>
      </c>
      <c r="E425" t="s">
        <v>31</v>
      </c>
      <c r="F425" s="2">
        <v>2025</v>
      </c>
      <c r="G425" t="s">
        <v>1322</v>
      </c>
      <c r="H425">
        <v>174</v>
      </c>
      <c r="I425">
        <v>6.9</v>
      </c>
      <c r="J425">
        <v>180508</v>
      </c>
      <c r="K425">
        <v>145.5</v>
      </c>
      <c r="L425" t="s">
        <v>83</v>
      </c>
      <c r="M425" t="s">
        <v>1342</v>
      </c>
      <c r="N425" t="s">
        <v>152</v>
      </c>
      <c r="O425" s="7" t="s">
        <v>112</v>
      </c>
    </row>
    <row r="426" spans="1:15" x14ac:dyDescent="0.3">
      <c r="A426" t="s">
        <v>977</v>
      </c>
      <c r="B426" t="s">
        <v>978</v>
      </c>
      <c r="C426" t="s">
        <v>30</v>
      </c>
      <c r="D426" t="s">
        <v>20</v>
      </c>
      <c r="E426" t="s">
        <v>192</v>
      </c>
      <c r="F426" s="2">
        <v>2023</v>
      </c>
      <c r="G426" t="s">
        <v>1322</v>
      </c>
      <c r="H426">
        <v>178</v>
      </c>
      <c r="I426">
        <v>7.8</v>
      </c>
      <c r="J426">
        <v>227187</v>
      </c>
      <c r="K426">
        <v>348.5</v>
      </c>
      <c r="L426" t="s">
        <v>101</v>
      </c>
      <c r="M426" t="s">
        <v>1341</v>
      </c>
      <c r="N426" t="s">
        <v>36</v>
      </c>
      <c r="O426" s="6" t="s">
        <v>48</v>
      </c>
    </row>
    <row r="427" spans="1:15" x14ac:dyDescent="0.3">
      <c r="A427" t="s">
        <v>979</v>
      </c>
      <c r="B427" t="s">
        <v>980</v>
      </c>
      <c r="C427" t="s">
        <v>63</v>
      </c>
      <c r="D427" t="s">
        <v>87</v>
      </c>
      <c r="E427" t="s">
        <v>82</v>
      </c>
      <c r="F427" s="2">
        <v>2022</v>
      </c>
      <c r="G427" t="s">
        <v>1326</v>
      </c>
      <c r="H427">
        <v>121</v>
      </c>
      <c r="I427">
        <v>6.4</v>
      </c>
      <c r="J427">
        <v>806045</v>
      </c>
      <c r="K427">
        <v>411.37</v>
      </c>
      <c r="L427" t="s">
        <v>109</v>
      </c>
      <c r="M427" t="s">
        <v>1342</v>
      </c>
      <c r="N427" t="s">
        <v>60</v>
      </c>
      <c r="O427" s="7" t="s">
        <v>63</v>
      </c>
    </row>
    <row r="428" spans="1:15" x14ac:dyDescent="0.3">
      <c r="A428" t="s">
        <v>981</v>
      </c>
      <c r="B428" t="s">
        <v>982</v>
      </c>
      <c r="C428" t="s">
        <v>48</v>
      </c>
      <c r="D428" t="s">
        <v>20</v>
      </c>
      <c r="E428" t="s">
        <v>31</v>
      </c>
      <c r="F428" s="2">
        <v>2023</v>
      </c>
      <c r="G428" t="s">
        <v>1329</v>
      </c>
      <c r="H428">
        <v>107</v>
      </c>
      <c r="I428">
        <v>6.4</v>
      </c>
      <c r="J428">
        <v>118483</v>
      </c>
      <c r="K428">
        <v>99.6</v>
      </c>
      <c r="L428" t="s">
        <v>66</v>
      </c>
      <c r="M428" t="s">
        <v>1338</v>
      </c>
      <c r="N428" t="s">
        <v>60</v>
      </c>
      <c r="O428" s="6" t="s">
        <v>144</v>
      </c>
    </row>
    <row r="429" spans="1:15" x14ac:dyDescent="0.3">
      <c r="A429" t="s">
        <v>983</v>
      </c>
      <c r="B429" t="s">
        <v>984</v>
      </c>
      <c r="C429" t="s">
        <v>39</v>
      </c>
      <c r="D429" t="s">
        <v>72</v>
      </c>
      <c r="E429" t="s">
        <v>41</v>
      </c>
      <c r="F429" s="2">
        <v>2015</v>
      </c>
      <c r="G429" t="s">
        <v>1314</v>
      </c>
      <c r="H429">
        <v>151</v>
      </c>
      <c r="I429">
        <v>7</v>
      </c>
      <c r="J429">
        <v>108477</v>
      </c>
      <c r="K429">
        <v>28.17</v>
      </c>
      <c r="L429" t="s">
        <v>66</v>
      </c>
      <c r="M429" t="s">
        <v>1330</v>
      </c>
      <c r="N429" t="s">
        <v>54</v>
      </c>
      <c r="O429" s="7" t="s">
        <v>48</v>
      </c>
    </row>
    <row r="430" spans="1:15" x14ac:dyDescent="0.3">
      <c r="A430" t="s">
        <v>985</v>
      </c>
      <c r="B430" t="s">
        <v>986</v>
      </c>
      <c r="C430" t="s">
        <v>39</v>
      </c>
      <c r="D430" t="s">
        <v>20</v>
      </c>
      <c r="E430" t="s">
        <v>31</v>
      </c>
      <c r="F430" s="2">
        <v>2021</v>
      </c>
      <c r="G430" t="s">
        <v>1319</v>
      </c>
      <c r="H430">
        <v>162</v>
      </c>
      <c r="I430">
        <v>8.3000000000000007</v>
      </c>
      <c r="J430">
        <v>287686</v>
      </c>
      <c r="K430">
        <v>311.79000000000002</v>
      </c>
      <c r="L430" t="s">
        <v>89</v>
      </c>
      <c r="M430" t="s">
        <v>1330</v>
      </c>
      <c r="N430" t="s">
        <v>27</v>
      </c>
      <c r="O430" s="6" t="s">
        <v>48</v>
      </c>
    </row>
    <row r="431" spans="1:15" x14ac:dyDescent="0.3">
      <c r="A431" t="s">
        <v>987</v>
      </c>
      <c r="B431" t="s">
        <v>988</v>
      </c>
      <c r="C431" t="s">
        <v>48</v>
      </c>
      <c r="D431" t="s">
        <v>20</v>
      </c>
      <c r="E431" t="s">
        <v>21</v>
      </c>
      <c r="F431" s="2">
        <v>2016</v>
      </c>
      <c r="G431" t="s">
        <v>1332</v>
      </c>
      <c r="H431">
        <v>139</v>
      </c>
      <c r="I431">
        <v>6.9</v>
      </c>
      <c r="J431">
        <v>761227</v>
      </c>
      <c r="K431">
        <v>745.16</v>
      </c>
      <c r="L431" t="s">
        <v>52</v>
      </c>
      <c r="M431" t="s">
        <v>1341</v>
      </c>
      <c r="N431" t="s">
        <v>27</v>
      </c>
      <c r="O431" s="7" t="s">
        <v>130</v>
      </c>
    </row>
    <row r="432" spans="1:15" x14ac:dyDescent="0.3">
      <c r="A432" t="s">
        <v>989</v>
      </c>
      <c r="B432" t="s">
        <v>990</v>
      </c>
      <c r="C432" t="s">
        <v>39</v>
      </c>
      <c r="D432" t="s">
        <v>57</v>
      </c>
      <c r="E432" t="s">
        <v>41</v>
      </c>
      <c r="F432" s="2">
        <v>2020</v>
      </c>
      <c r="G432" t="s">
        <v>1340</v>
      </c>
      <c r="H432">
        <v>161</v>
      </c>
      <c r="I432">
        <v>8.1999999999999993</v>
      </c>
      <c r="J432">
        <v>351705</v>
      </c>
      <c r="K432">
        <v>26.3</v>
      </c>
      <c r="L432" t="s">
        <v>140</v>
      </c>
      <c r="M432" t="s">
        <v>1318</v>
      </c>
      <c r="N432" t="s">
        <v>68</v>
      </c>
      <c r="O432" s="6" t="s">
        <v>144</v>
      </c>
    </row>
    <row r="433" spans="1:15" x14ac:dyDescent="0.3">
      <c r="A433" t="s">
        <v>991</v>
      </c>
      <c r="B433" t="s">
        <v>992</v>
      </c>
      <c r="C433" t="s">
        <v>19</v>
      </c>
      <c r="D433" t="s">
        <v>81</v>
      </c>
      <c r="E433" t="s">
        <v>49</v>
      </c>
      <c r="F433" s="2">
        <v>2022</v>
      </c>
      <c r="G433" t="s">
        <v>1331</v>
      </c>
      <c r="H433">
        <v>85</v>
      </c>
      <c r="I433">
        <v>6.9</v>
      </c>
      <c r="J433">
        <v>527014</v>
      </c>
      <c r="K433">
        <v>827.18</v>
      </c>
      <c r="L433" t="s">
        <v>43</v>
      </c>
      <c r="M433" t="s">
        <v>1328</v>
      </c>
      <c r="N433" t="s">
        <v>36</v>
      </c>
      <c r="O433" s="7" t="s">
        <v>19</v>
      </c>
    </row>
    <row r="434" spans="1:15" x14ac:dyDescent="0.3">
      <c r="A434" t="s">
        <v>993</v>
      </c>
      <c r="B434" t="s">
        <v>994</v>
      </c>
      <c r="C434" t="s">
        <v>71</v>
      </c>
      <c r="D434" t="s">
        <v>20</v>
      </c>
      <c r="E434" t="s">
        <v>41</v>
      </c>
      <c r="F434" s="2">
        <v>2019</v>
      </c>
      <c r="G434" t="s">
        <v>1331</v>
      </c>
      <c r="H434">
        <v>110</v>
      </c>
      <c r="I434">
        <v>6.1</v>
      </c>
      <c r="J434">
        <v>289620</v>
      </c>
      <c r="K434">
        <v>387.04</v>
      </c>
      <c r="L434" t="s">
        <v>43</v>
      </c>
      <c r="M434" t="s">
        <v>1341</v>
      </c>
      <c r="N434" t="s">
        <v>68</v>
      </c>
      <c r="O434" s="6" t="s">
        <v>39</v>
      </c>
    </row>
    <row r="435" spans="1:15" x14ac:dyDescent="0.3">
      <c r="A435" t="s">
        <v>995</v>
      </c>
      <c r="B435" t="s">
        <v>996</v>
      </c>
      <c r="C435" t="s">
        <v>19</v>
      </c>
      <c r="D435" t="s">
        <v>57</v>
      </c>
      <c r="E435" t="s">
        <v>139</v>
      </c>
      <c r="F435" s="2">
        <v>2016</v>
      </c>
      <c r="G435" t="s">
        <v>1326</v>
      </c>
      <c r="H435">
        <v>145</v>
      </c>
      <c r="I435">
        <v>8</v>
      </c>
      <c r="J435">
        <v>921190</v>
      </c>
      <c r="K435">
        <v>819.44</v>
      </c>
      <c r="L435" t="s">
        <v>43</v>
      </c>
      <c r="M435" t="s">
        <v>1323</v>
      </c>
      <c r="N435" t="s">
        <v>60</v>
      </c>
      <c r="O435" s="7" t="s">
        <v>30</v>
      </c>
    </row>
    <row r="436" spans="1:15" x14ac:dyDescent="0.3">
      <c r="A436" t="s">
        <v>997</v>
      </c>
      <c r="B436" t="s">
        <v>998</v>
      </c>
      <c r="C436" t="s">
        <v>19</v>
      </c>
      <c r="D436" t="s">
        <v>57</v>
      </c>
      <c r="E436" t="s">
        <v>82</v>
      </c>
      <c r="F436" s="2">
        <v>2021</v>
      </c>
      <c r="G436" t="s">
        <v>1332</v>
      </c>
      <c r="H436">
        <v>161</v>
      </c>
      <c r="I436">
        <v>7.4</v>
      </c>
      <c r="J436">
        <v>826527</v>
      </c>
      <c r="K436">
        <v>144.26</v>
      </c>
      <c r="L436" t="s">
        <v>89</v>
      </c>
      <c r="M436" t="s">
        <v>1315</v>
      </c>
      <c r="N436" t="s">
        <v>60</v>
      </c>
      <c r="O436" s="6" t="s">
        <v>30</v>
      </c>
    </row>
    <row r="437" spans="1:15" x14ac:dyDescent="0.3">
      <c r="A437" t="s">
        <v>999</v>
      </c>
      <c r="B437" t="s">
        <v>1000</v>
      </c>
      <c r="C437" t="s">
        <v>130</v>
      </c>
      <c r="D437" t="s">
        <v>64</v>
      </c>
      <c r="E437" t="s">
        <v>82</v>
      </c>
      <c r="F437" s="2">
        <v>2021</v>
      </c>
      <c r="G437" t="s">
        <v>1331</v>
      </c>
      <c r="H437">
        <v>146</v>
      </c>
      <c r="I437">
        <v>6.9</v>
      </c>
      <c r="J437">
        <v>808169</v>
      </c>
      <c r="K437">
        <v>191.71</v>
      </c>
      <c r="L437" t="s">
        <v>145</v>
      </c>
      <c r="M437" t="s">
        <v>1321</v>
      </c>
      <c r="N437" t="s">
        <v>68</v>
      </c>
      <c r="O437" s="7" t="s">
        <v>63</v>
      </c>
    </row>
    <row r="438" spans="1:15" x14ac:dyDescent="0.3">
      <c r="A438" t="s">
        <v>1001</v>
      </c>
      <c r="B438" t="s">
        <v>1002</v>
      </c>
      <c r="C438" t="s">
        <v>63</v>
      </c>
      <c r="D438" t="s">
        <v>87</v>
      </c>
      <c r="E438" t="s">
        <v>208</v>
      </c>
      <c r="F438" s="2">
        <v>2015</v>
      </c>
      <c r="G438" t="s">
        <v>1326</v>
      </c>
      <c r="H438">
        <v>98</v>
      </c>
      <c r="I438">
        <v>6.3</v>
      </c>
      <c r="J438">
        <v>842035</v>
      </c>
      <c r="K438">
        <v>534.58000000000004</v>
      </c>
      <c r="L438" t="s">
        <v>52</v>
      </c>
      <c r="M438" t="s">
        <v>1324</v>
      </c>
      <c r="N438" t="s">
        <v>152</v>
      </c>
      <c r="O438" s="6" t="s">
        <v>48</v>
      </c>
    </row>
    <row r="439" spans="1:15" x14ac:dyDescent="0.3">
      <c r="A439" t="s">
        <v>1003</v>
      </c>
      <c r="B439" t="s">
        <v>1004</v>
      </c>
      <c r="C439" t="s">
        <v>30</v>
      </c>
      <c r="D439" t="s">
        <v>20</v>
      </c>
      <c r="E439" t="s">
        <v>88</v>
      </c>
      <c r="F439" s="2">
        <v>2024</v>
      </c>
      <c r="G439" t="s">
        <v>1322</v>
      </c>
      <c r="H439">
        <v>103</v>
      </c>
      <c r="I439">
        <v>6.5</v>
      </c>
      <c r="J439">
        <v>142879</v>
      </c>
      <c r="K439">
        <v>104.62</v>
      </c>
      <c r="L439" t="s">
        <v>109</v>
      </c>
      <c r="M439" t="s">
        <v>1324</v>
      </c>
      <c r="N439" t="s">
        <v>54</v>
      </c>
      <c r="O439" s="7" t="s">
        <v>39</v>
      </c>
    </row>
    <row r="440" spans="1:15" x14ac:dyDescent="0.3">
      <c r="A440" t="s">
        <v>1005</v>
      </c>
      <c r="B440" t="s">
        <v>1006</v>
      </c>
      <c r="C440" t="s">
        <v>86</v>
      </c>
      <c r="D440" t="s">
        <v>20</v>
      </c>
      <c r="E440" t="s">
        <v>208</v>
      </c>
      <c r="F440" s="2">
        <v>2025</v>
      </c>
      <c r="G440" t="s">
        <v>1316</v>
      </c>
      <c r="H440">
        <v>144</v>
      </c>
      <c r="I440">
        <v>7.4</v>
      </c>
      <c r="J440">
        <v>509106</v>
      </c>
      <c r="K440">
        <v>157.53</v>
      </c>
      <c r="L440" t="s">
        <v>24</v>
      </c>
      <c r="M440" t="s">
        <v>1321</v>
      </c>
      <c r="N440" t="s">
        <v>27</v>
      </c>
      <c r="O440" s="6" t="s">
        <v>39</v>
      </c>
    </row>
    <row r="441" spans="1:15" x14ac:dyDescent="0.3">
      <c r="A441" t="s">
        <v>1007</v>
      </c>
      <c r="B441" t="s">
        <v>1008</v>
      </c>
      <c r="C441" t="s">
        <v>39</v>
      </c>
      <c r="D441" t="s">
        <v>20</v>
      </c>
      <c r="E441" t="s">
        <v>31</v>
      </c>
      <c r="F441" s="2">
        <v>2015</v>
      </c>
      <c r="G441" t="s">
        <v>1332</v>
      </c>
      <c r="H441">
        <v>111</v>
      </c>
      <c r="I441">
        <v>8.1</v>
      </c>
      <c r="J441">
        <v>468927</v>
      </c>
      <c r="K441">
        <v>828.18</v>
      </c>
      <c r="L441" t="s">
        <v>179</v>
      </c>
      <c r="M441" t="s">
        <v>1320</v>
      </c>
      <c r="N441" t="s">
        <v>27</v>
      </c>
      <c r="O441" s="7" t="s">
        <v>48</v>
      </c>
    </row>
    <row r="442" spans="1:15" x14ac:dyDescent="0.3">
      <c r="A442" t="s">
        <v>1009</v>
      </c>
      <c r="B442" t="s">
        <v>1010</v>
      </c>
      <c r="C442" t="s">
        <v>39</v>
      </c>
      <c r="D442" t="s">
        <v>20</v>
      </c>
      <c r="E442" t="s">
        <v>88</v>
      </c>
      <c r="F442" s="2">
        <v>2015</v>
      </c>
      <c r="G442" t="s">
        <v>1331</v>
      </c>
      <c r="H442">
        <v>156</v>
      </c>
      <c r="I442">
        <v>6.5</v>
      </c>
      <c r="J442">
        <v>204910</v>
      </c>
      <c r="K442">
        <v>251.25</v>
      </c>
      <c r="L442" t="s">
        <v>101</v>
      </c>
      <c r="M442" t="s">
        <v>1321</v>
      </c>
      <c r="N442" t="s">
        <v>54</v>
      </c>
      <c r="O442" s="6" t="s">
        <v>39</v>
      </c>
    </row>
    <row r="443" spans="1:15" x14ac:dyDescent="0.3">
      <c r="A443" t="s">
        <v>1011</v>
      </c>
      <c r="B443" t="s">
        <v>1012</v>
      </c>
      <c r="C443" t="s">
        <v>19</v>
      </c>
      <c r="D443" t="s">
        <v>20</v>
      </c>
      <c r="E443" t="s">
        <v>31</v>
      </c>
      <c r="F443" s="2">
        <v>2024</v>
      </c>
      <c r="G443" t="s">
        <v>1319</v>
      </c>
      <c r="H443">
        <v>183</v>
      </c>
      <c r="I443">
        <v>7.4</v>
      </c>
      <c r="J443">
        <v>632450</v>
      </c>
      <c r="K443">
        <v>503.24</v>
      </c>
      <c r="L443" t="s">
        <v>145</v>
      </c>
      <c r="M443" t="s">
        <v>1342</v>
      </c>
      <c r="N443" t="s">
        <v>36</v>
      </c>
      <c r="O443" s="7" t="s">
        <v>19</v>
      </c>
    </row>
    <row r="444" spans="1:15" x14ac:dyDescent="0.3">
      <c r="A444" t="s">
        <v>1013</v>
      </c>
      <c r="B444" t="s">
        <v>1014</v>
      </c>
      <c r="C444" t="s">
        <v>116</v>
      </c>
      <c r="D444" t="s">
        <v>72</v>
      </c>
      <c r="E444" t="s">
        <v>82</v>
      </c>
      <c r="F444" s="2">
        <v>2017</v>
      </c>
      <c r="G444" t="s">
        <v>1325</v>
      </c>
      <c r="H444">
        <v>93</v>
      </c>
      <c r="I444">
        <v>5.5</v>
      </c>
      <c r="J444">
        <v>124938</v>
      </c>
      <c r="K444">
        <v>306.27</v>
      </c>
      <c r="L444" t="s">
        <v>24</v>
      </c>
      <c r="M444" t="s">
        <v>1317</v>
      </c>
      <c r="N444" t="s">
        <v>27</v>
      </c>
      <c r="O444" s="6" t="s">
        <v>71</v>
      </c>
    </row>
    <row r="445" spans="1:15" x14ac:dyDescent="0.3">
      <c r="A445" t="s">
        <v>1015</v>
      </c>
      <c r="B445" t="s">
        <v>1016</v>
      </c>
      <c r="C445" t="s">
        <v>116</v>
      </c>
      <c r="D445" t="s">
        <v>81</v>
      </c>
      <c r="E445" t="s">
        <v>41</v>
      </c>
      <c r="F445" s="2">
        <v>2024</v>
      </c>
      <c r="G445" t="s">
        <v>1327</v>
      </c>
      <c r="H445">
        <v>140</v>
      </c>
      <c r="I445">
        <v>6.9</v>
      </c>
      <c r="J445">
        <v>363344</v>
      </c>
      <c r="K445">
        <v>849.23</v>
      </c>
      <c r="L445" t="s">
        <v>119</v>
      </c>
      <c r="M445" t="s">
        <v>1335</v>
      </c>
      <c r="N445" t="s">
        <v>152</v>
      </c>
      <c r="O445" s="7" t="s">
        <v>130</v>
      </c>
    </row>
    <row r="446" spans="1:15" x14ac:dyDescent="0.3">
      <c r="A446" t="s">
        <v>1017</v>
      </c>
      <c r="B446" t="s">
        <v>1018</v>
      </c>
      <c r="C446" t="s">
        <v>104</v>
      </c>
      <c r="D446" t="s">
        <v>87</v>
      </c>
      <c r="E446" t="s">
        <v>41</v>
      </c>
      <c r="F446" s="2">
        <v>2025</v>
      </c>
      <c r="G446" t="s">
        <v>1332</v>
      </c>
      <c r="H446">
        <v>121</v>
      </c>
      <c r="I446">
        <v>6.4</v>
      </c>
      <c r="J446">
        <v>908655</v>
      </c>
      <c r="K446">
        <v>433.04</v>
      </c>
      <c r="L446" t="s">
        <v>109</v>
      </c>
      <c r="M446" t="s">
        <v>1341</v>
      </c>
      <c r="N446" t="s">
        <v>27</v>
      </c>
      <c r="O446" s="6" t="s">
        <v>19</v>
      </c>
    </row>
    <row r="447" spans="1:15" x14ac:dyDescent="0.3">
      <c r="A447" t="s">
        <v>1019</v>
      </c>
      <c r="B447" t="s">
        <v>1020</v>
      </c>
      <c r="C447" t="s">
        <v>86</v>
      </c>
      <c r="D447" t="s">
        <v>87</v>
      </c>
      <c r="E447" t="s">
        <v>49</v>
      </c>
      <c r="F447" s="2">
        <v>2018</v>
      </c>
      <c r="G447" t="s">
        <v>1332</v>
      </c>
      <c r="H447">
        <v>103</v>
      </c>
      <c r="I447">
        <v>7.9</v>
      </c>
      <c r="J447">
        <v>381904</v>
      </c>
      <c r="K447">
        <v>544.57000000000005</v>
      </c>
      <c r="L447" t="s">
        <v>52</v>
      </c>
      <c r="M447" t="s">
        <v>1336</v>
      </c>
      <c r="N447" t="s">
        <v>27</v>
      </c>
      <c r="O447" s="7" t="s">
        <v>19</v>
      </c>
    </row>
    <row r="448" spans="1:15" x14ac:dyDescent="0.3">
      <c r="A448" t="s">
        <v>1021</v>
      </c>
      <c r="B448" t="s">
        <v>1022</v>
      </c>
      <c r="C448" t="s">
        <v>30</v>
      </c>
      <c r="D448" t="s">
        <v>20</v>
      </c>
      <c r="E448" t="s">
        <v>88</v>
      </c>
      <c r="F448" s="2">
        <v>2024</v>
      </c>
      <c r="G448" t="s">
        <v>1327</v>
      </c>
      <c r="H448">
        <v>104</v>
      </c>
      <c r="I448">
        <v>6.9</v>
      </c>
      <c r="J448">
        <v>111590</v>
      </c>
      <c r="K448">
        <v>167.73</v>
      </c>
      <c r="L448" t="s">
        <v>43</v>
      </c>
      <c r="M448" t="s">
        <v>1335</v>
      </c>
      <c r="N448" t="s">
        <v>68</v>
      </c>
      <c r="O448" s="6" t="s">
        <v>130</v>
      </c>
    </row>
    <row r="449" spans="1:15" x14ac:dyDescent="0.3">
      <c r="A449" t="s">
        <v>1023</v>
      </c>
      <c r="B449" t="s">
        <v>1024</v>
      </c>
      <c r="C449" t="s">
        <v>63</v>
      </c>
      <c r="D449" t="s">
        <v>20</v>
      </c>
      <c r="E449" t="s">
        <v>31</v>
      </c>
      <c r="F449" s="2">
        <v>2022</v>
      </c>
      <c r="G449" t="s">
        <v>1314</v>
      </c>
      <c r="H449">
        <v>144</v>
      </c>
      <c r="I449">
        <v>7.2</v>
      </c>
      <c r="J449">
        <v>604918</v>
      </c>
      <c r="K449">
        <v>16.489999999999998</v>
      </c>
      <c r="L449" t="s">
        <v>34</v>
      </c>
      <c r="M449" t="s">
        <v>1343</v>
      </c>
      <c r="N449" t="s">
        <v>60</v>
      </c>
      <c r="O449" s="7" t="s">
        <v>63</v>
      </c>
    </row>
    <row r="450" spans="1:15" x14ac:dyDescent="0.3">
      <c r="A450" t="s">
        <v>1025</v>
      </c>
      <c r="B450" t="s">
        <v>1026</v>
      </c>
      <c r="C450" t="s">
        <v>144</v>
      </c>
      <c r="D450" t="s">
        <v>20</v>
      </c>
      <c r="E450" t="s">
        <v>88</v>
      </c>
      <c r="F450" s="2">
        <v>2023</v>
      </c>
      <c r="G450" t="s">
        <v>1319</v>
      </c>
      <c r="H450">
        <v>96</v>
      </c>
      <c r="I450">
        <v>6.7</v>
      </c>
      <c r="J450">
        <v>367175</v>
      </c>
      <c r="K450">
        <v>126.77</v>
      </c>
      <c r="L450" t="s">
        <v>34</v>
      </c>
      <c r="M450" t="s">
        <v>1324</v>
      </c>
      <c r="N450" t="s">
        <v>36</v>
      </c>
      <c r="O450" s="6" t="s">
        <v>30</v>
      </c>
    </row>
    <row r="451" spans="1:15" x14ac:dyDescent="0.3">
      <c r="A451" t="s">
        <v>1027</v>
      </c>
      <c r="B451" t="s">
        <v>1028</v>
      </c>
      <c r="C451" t="s">
        <v>48</v>
      </c>
      <c r="D451" t="s">
        <v>20</v>
      </c>
      <c r="E451" t="s">
        <v>31</v>
      </c>
      <c r="F451" s="2">
        <v>2024</v>
      </c>
      <c r="G451" t="s">
        <v>1331</v>
      </c>
      <c r="H451">
        <v>95</v>
      </c>
      <c r="I451">
        <v>7.5</v>
      </c>
      <c r="J451">
        <v>791883</v>
      </c>
      <c r="K451">
        <v>825.09</v>
      </c>
      <c r="L451" t="s">
        <v>89</v>
      </c>
      <c r="M451" t="s">
        <v>1315</v>
      </c>
      <c r="N451" t="s">
        <v>60</v>
      </c>
      <c r="O451" s="7" t="s">
        <v>86</v>
      </c>
    </row>
    <row r="452" spans="1:15" x14ac:dyDescent="0.3">
      <c r="A452" t="s">
        <v>1029</v>
      </c>
      <c r="B452" t="s">
        <v>1030</v>
      </c>
      <c r="C452" t="s">
        <v>19</v>
      </c>
      <c r="D452" t="s">
        <v>87</v>
      </c>
      <c r="E452" t="s">
        <v>21</v>
      </c>
      <c r="F452" s="2">
        <v>2019</v>
      </c>
      <c r="G452" t="s">
        <v>1327</v>
      </c>
      <c r="H452">
        <v>158</v>
      </c>
      <c r="I452">
        <v>7</v>
      </c>
      <c r="J452">
        <v>777564</v>
      </c>
      <c r="K452">
        <v>140.37</v>
      </c>
      <c r="L452" t="s">
        <v>179</v>
      </c>
      <c r="M452" t="s">
        <v>1320</v>
      </c>
      <c r="N452" t="s">
        <v>54</v>
      </c>
      <c r="O452" s="6" t="s">
        <v>39</v>
      </c>
    </row>
    <row r="453" spans="1:15" x14ac:dyDescent="0.3">
      <c r="A453" t="s">
        <v>1031</v>
      </c>
      <c r="B453" t="s">
        <v>1032</v>
      </c>
      <c r="C453" t="s">
        <v>86</v>
      </c>
      <c r="D453" t="s">
        <v>87</v>
      </c>
      <c r="E453" t="s">
        <v>88</v>
      </c>
      <c r="F453" s="2">
        <v>2024</v>
      </c>
      <c r="G453" t="s">
        <v>1322</v>
      </c>
      <c r="H453">
        <v>175</v>
      </c>
      <c r="I453">
        <v>6.6</v>
      </c>
      <c r="J453">
        <v>591784</v>
      </c>
      <c r="K453">
        <v>266.42</v>
      </c>
      <c r="L453" t="s">
        <v>101</v>
      </c>
      <c r="M453" t="s">
        <v>1343</v>
      </c>
      <c r="N453" t="s">
        <v>27</v>
      </c>
      <c r="O453" s="7" t="s">
        <v>39</v>
      </c>
    </row>
    <row r="454" spans="1:15" x14ac:dyDescent="0.3">
      <c r="A454" t="s">
        <v>1033</v>
      </c>
      <c r="B454" t="s">
        <v>1034</v>
      </c>
      <c r="C454" t="s">
        <v>144</v>
      </c>
      <c r="D454" t="s">
        <v>20</v>
      </c>
      <c r="E454" t="s">
        <v>88</v>
      </c>
      <c r="F454" s="2">
        <v>2018</v>
      </c>
      <c r="G454" t="s">
        <v>1332</v>
      </c>
      <c r="H454">
        <v>110</v>
      </c>
      <c r="I454">
        <v>7.3</v>
      </c>
      <c r="J454">
        <v>474840</v>
      </c>
      <c r="K454">
        <v>745.99</v>
      </c>
      <c r="L454" t="s">
        <v>109</v>
      </c>
      <c r="M454" t="s">
        <v>1341</v>
      </c>
      <c r="N454" t="s">
        <v>36</v>
      </c>
      <c r="O454" s="6" t="s">
        <v>19</v>
      </c>
    </row>
    <row r="455" spans="1:15" x14ac:dyDescent="0.3">
      <c r="A455" t="s">
        <v>1035</v>
      </c>
      <c r="B455" t="s">
        <v>1036</v>
      </c>
      <c r="C455" t="s">
        <v>144</v>
      </c>
      <c r="D455" t="s">
        <v>20</v>
      </c>
      <c r="E455" t="s">
        <v>88</v>
      </c>
      <c r="F455" s="2">
        <v>2015</v>
      </c>
      <c r="G455" t="s">
        <v>1319</v>
      </c>
      <c r="H455">
        <v>96</v>
      </c>
      <c r="I455">
        <v>6.9</v>
      </c>
      <c r="J455">
        <v>630171</v>
      </c>
      <c r="K455">
        <v>175.6</v>
      </c>
      <c r="L455" t="s">
        <v>133</v>
      </c>
      <c r="M455" t="s">
        <v>1343</v>
      </c>
      <c r="N455" t="s">
        <v>27</v>
      </c>
      <c r="O455" s="7" t="s">
        <v>116</v>
      </c>
    </row>
    <row r="456" spans="1:15" x14ac:dyDescent="0.3">
      <c r="A456" t="s">
        <v>1037</v>
      </c>
      <c r="B456" t="s">
        <v>1038</v>
      </c>
      <c r="C456" t="s">
        <v>130</v>
      </c>
      <c r="D456" t="s">
        <v>20</v>
      </c>
      <c r="E456" t="s">
        <v>41</v>
      </c>
      <c r="F456" s="2">
        <v>2018</v>
      </c>
      <c r="G456" t="s">
        <v>1325</v>
      </c>
      <c r="H456">
        <v>146</v>
      </c>
      <c r="I456">
        <v>7.1</v>
      </c>
      <c r="J456">
        <v>814005</v>
      </c>
      <c r="K456">
        <v>495.38</v>
      </c>
      <c r="L456" t="s">
        <v>119</v>
      </c>
      <c r="M456" t="s">
        <v>1328</v>
      </c>
      <c r="N456" t="s">
        <v>36</v>
      </c>
      <c r="O456" s="6" t="s">
        <v>116</v>
      </c>
    </row>
    <row r="457" spans="1:15" x14ac:dyDescent="0.3">
      <c r="A457" t="s">
        <v>1039</v>
      </c>
      <c r="B457" t="s">
        <v>1040</v>
      </c>
      <c r="C457" t="s">
        <v>19</v>
      </c>
      <c r="D457" t="s">
        <v>81</v>
      </c>
      <c r="E457" t="s">
        <v>88</v>
      </c>
      <c r="F457" s="2">
        <v>2024</v>
      </c>
      <c r="G457" t="s">
        <v>1334</v>
      </c>
      <c r="H457">
        <v>112</v>
      </c>
      <c r="I457">
        <v>7</v>
      </c>
      <c r="J457">
        <v>394082</v>
      </c>
      <c r="K457">
        <v>1344.29</v>
      </c>
      <c r="L457" t="s">
        <v>34</v>
      </c>
      <c r="M457" t="s">
        <v>1321</v>
      </c>
      <c r="N457" t="s">
        <v>27</v>
      </c>
      <c r="O457" s="7" t="s">
        <v>104</v>
      </c>
    </row>
    <row r="458" spans="1:15" x14ac:dyDescent="0.3">
      <c r="A458" t="s">
        <v>1041</v>
      </c>
      <c r="B458" t="s">
        <v>1042</v>
      </c>
      <c r="C458" t="s">
        <v>39</v>
      </c>
      <c r="D458" t="s">
        <v>40</v>
      </c>
      <c r="E458" t="s">
        <v>92</v>
      </c>
      <c r="F458" s="2">
        <v>2020</v>
      </c>
      <c r="G458" t="s">
        <v>1314</v>
      </c>
      <c r="H458">
        <v>85</v>
      </c>
      <c r="I458">
        <v>7.3</v>
      </c>
      <c r="J458">
        <v>770095</v>
      </c>
      <c r="K458">
        <v>44.43</v>
      </c>
      <c r="L458" t="s">
        <v>52</v>
      </c>
      <c r="M458" t="s">
        <v>1337</v>
      </c>
      <c r="N458" t="s">
        <v>123</v>
      </c>
      <c r="O458" s="6" t="s">
        <v>86</v>
      </c>
    </row>
    <row r="459" spans="1:15" x14ac:dyDescent="0.3">
      <c r="A459" t="s">
        <v>1045</v>
      </c>
      <c r="B459" t="s">
        <v>1046</v>
      </c>
      <c r="C459" t="s">
        <v>86</v>
      </c>
      <c r="D459" t="s">
        <v>20</v>
      </c>
      <c r="E459" t="s">
        <v>82</v>
      </c>
      <c r="F459" s="2">
        <v>2022</v>
      </c>
      <c r="G459" t="s">
        <v>1314</v>
      </c>
      <c r="H459">
        <v>142</v>
      </c>
      <c r="I459">
        <v>6.6</v>
      </c>
      <c r="J459">
        <v>376967</v>
      </c>
      <c r="K459">
        <v>788.73</v>
      </c>
      <c r="L459" t="s">
        <v>133</v>
      </c>
      <c r="M459" t="s">
        <v>1338</v>
      </c>
      <c r="N459" t="s">
        <v>68</v>
      </c>
      <c r="O459" s="7" t="s">
        <v>30</v>
      </c>
    </row>
    <row r="460" spans="1:15" x14ac:dyDescent="0.3">
      <c r="A460" t="s">
        <v>1047</v>
      </c>
      <c r="B460" t="s">
        <v>1048</v>
      </c>
      <c r="C460" t="s">
        <v>19</v>
      </c>
      <c r="D460" t="s">
        <v>215</v>
      </c>
      <c r="E460" t="s">
        <v>41</v>
      </c>
      <c r="F460" s="2">
        <v>2021</v>
      </c>
      <c r="G460" t="s">
        <v>1326</v>
      </c>
      <c r="H460">
        <v>183</v>
      </c>
      <c r="I460">
        <v>8</v>
      </c>
      <c r="J460">
        <v>142807</v>
      </c>
      <c r="K460">
        <v>1411.61</v>
      </c>
      <c r="L460" t="s">
        <v>34</v>
      </c>
      <c r="M460" t="s">
        <v>1341</v>
      </c>
      <c r="N460" t="s">
        <v>68</v>
      </c>
      <c r="O460" s="6" t="s">
        <v>63</v>
      </c>
    </row>
    <row r="461" spans="1:15" x14ac:dyDescent="0.3">
      <c r="A461" t="s">
        <v>1049</v>
      </c>
      <c r="B461" t="s">
        <v>1050</v>
      </c>
      <c r="C461" t="s">
        <v>39</v>
      </c>
      <c r="D461" t="s">
        <v>40</v>
      </c>
      <c r="E461" t="s">
        <v>41</v>
      </c>
      <c r="F461" s="2">
        <v>2021</v>
      </c>
      <c r="G461" t="s">
        <v>1329</v>
      </c>
      <c r="H461">
        <v>123</v>
      </c>
      <c r="I461">
        <v>8.4</v>
      </c>
      <c r="J461">
        <v>247698</v>
      </c>
      <c r="K461">
        <v>496.84</v>
      </c>
      <c r="L461" t="s">
        <v>66</v>
      </c>
      <c r="M461" t="s">
        <v>1321</v>
      </c>
      <c r="N461" t="s">
        <v>68</v>
      </c>
      <c r="O461" s="7" t="s">
        <v>144</v>
      </c>
    </row>
    <row r="462" spans="1:15" x14ac:dyDescent="0.3">
      <c r="A462" t="s">
        <v>1051</v>
      </c>
      <c r="B462" t="s">
        <v>1052</v>
      </c>
      <c r="C462" t="s">
        <v>116</v>
      </c>
      <c r="D462" t="s">
        <v>87</v>
      </c>
      <c r="E462" t="s">
        <v>41</v>
      </c>
      <c r="F462" s="2">
        <v>2018</v>
      </c>
      <c r="G462" t="s">
        <v>1314</v>
      </c>
      <c r="H462">
        <v>135</v>
      </c>
      <c r="I462">
        <v>6.9</v>
      </c>
      <c r="J462">
        <v>646719</v>
      </c>
      <c r="K462">
        <v>1075.01</v>
      </c>
      <c r="L462" t="s">
        <v>43</v>
      </c>
      <c r="M462" t="s">
        <v>1318</v>
      </c>
      <c r="N462" t="s">
        <v>54</v>
      </c>
      <c r="O462" s="6" t="s">
        <v>48</v>
      </c>
    </row>
    <row r="463" spans="1:15" x14ac:dyDescent="0.3">
      <c r="A463" t="s">
        <v>1053</v>
      </c>
      <c r="B463" t="s">
        <v>1054</v>
      </c>
      <c r="C463" t="s">
        <v>116</v>
      </c>
      <c r="D463" t="s">
        <v>20</v>
      </c>
      <c r="E463" t="s">
        <v>41</v>
      </c>
      <c r="F463" s="2">
        <v>2020</v>
      </c>
      <c r="G463" t="s">
        <v>1327</v>
      </c>
      <c r="H463">
        <v>140</v>
      </c>
      <c r="I463">
        <v>7.5</v>
      </c>
      <c r="J463">
        <v>618276</v>
      </c>
      <c r="K463">
        <v>134.43</v>
      </c>
      <c r="L463" t="s">
        <v>24</v>
      </c>
      <c r="M463" t="s">
        <v>1336</v>
      </c>
      <c r="N463" t="s">
        <v>54</v>
      </c>
      <c r="O463" s="7" t="s">
        <v>19</v>
      </c>
    </row>
    <row r="464" spans="1:15" x14ac:dyDescent="0.3">
      <c r="A464" t="s">
        <v>1055</v>
      </c>
      <c r="B464" t="s">
        <v>1056</v>
      </c>
      <c r="C464" t="s">
        <v>19</v>
      </c>
      <c r="D464" t="s">
        <v>81</v>
      </c>
      <c r="E464" t="s">
        <v>82</v>
      </c>
      <c r="F464" s="2">
        <v>2017</v>
      </c>
      <c r="G464" t="s">
        <v>1334</v>
      </c>
      <c r="H464">
        <v>180</v>
      </c>
      <c r="I464">
        <v>7.5</v>
      </c>
      <c r="J464">
        <v>586053</v>
      </c>
      <c r="K464">
        <v>158.18</v>
      </c>
      <c r="L464" t="s">
        <v>145</v>
      </c>
      <c r="M464" t="s">
        <v>1321</v>
      </c>
      <c r="N464" t="s">
        <v>152</v>
      </c>
      <c r="O464" s="6" t="s">
        <v>86</v>
      </c>
    </row>
    <row r="465" spans="1:15" x14ac:dyDescent="0.3">
      <c r="A465" t="s">
        <v>1057</v>
      </c>
      <c r="B465" t="s">
        <v>1058</v>
      </c>
      <c r="C465" t="s">
        <v>39</v>
      </c>
      <c r="D465" t="s">
        <v>57</v>
      </c>
      <c r="E465" t="s">
        <v>88</v>
      </c>
      <c r="F465" s="2">
        <v>2020</v>
      </c>
      <c r="G465" t="s">
        <v>1326</v>
      </c>
      <c r="H465">
        <v>123</v>
      </c>
      <c r="I465">
        <v>7.8</v>
      </c>
      <c r="J465">
        <v>652979</v>
      </c>
      <c r="K465">
        <v>922.63</v>
      </c>
      <c r="L465" t="s">
        <v>52</v>
      </c>
      <c r="M465" t="s">
        <v>1321</v>
      </c>
      <c r="N465" t="s">
        <v>54</v>
      </c>
      <c r="O465" s="7" t="s">
        <v>144</v>
      </c>
    </row>
    <row r="466" spans="1:15" x14ac:dyDescent="0.3">
      <c r="A466" t="s">
        <v>1059</v>
      </c>
      <c r="B466" t="s">
        <v>1060</v>
      </c>
      <c r="C466" t="s">
        <v>130</v>
      </c>
      <c r="D466" t="s">
        <v>20</v>
      </c>
      <c r="E466" t="s">
        <v>21</v>
      </c>
      <c r="F466" s="2">
        <v>2015</v>
      </c>
      <c r="G466" t="s">
        <v>1327</v>
      </c>
      <c r="H466">
        <v>183</v>
      </c>
      <c r="I466">
        <v>7</v>
      </c>
      <c r="J466">
        <v>465278</v>
      </c>
      <c r="K466">
        <v>472.43</v>
      </c>
      <c r="L466" t="s">
        <v>89</v>
      </c>
      <c r="M466" t="s">
        <v>1342</v>
      </c>
      <c r="N466" t="s">
        <v>123</v>
      </c>
      <c r="O466" s="6" t="s">
        <v>144</v>
      </c>
    </row>
    <row r="467" spans="1:15" x14ac:dyDescent="0.3">
      <c r="A467" t="s">
        <v>1061</v>
      </c>
      <c r="B467" t="s">
        <v>1062</v>
      </c>
      <c r="C467" t="s">
        <v>39</v>
      </c>
      <c r="D467" t="s">
        <v>87</v>
      </c>
      <c r="E467" t="s">
        <v>139</v>
      </c>
      <c r="F467" s="2">
        <v>2018</v>
      </c>
      <c r="G467" t="s">
        <v>1322</v>
      </c>
      <c r="H467">
        <v>110</v>
      </c>
      <c r="I467">
        <v>8.3000000000000007</v>
      </c>
      <c r="J467">
        <v>117135</v>
      </c>
      <c r="K467">
        <v>1004.43</v>
      </c>
      <c r="L467" t="s">
        <v>133</v>
      </c>
      <c r="M467" t="s">
        <v>1335</v>
      </c>
      <c r="N467" t="s">
        <v>123</v>
      </c>
      <c r="O467" s="7" t="s">
        <v>130</v>
      </c>
    </row>
    <row r="468" spans="1:15" x14ac:dyDescent="0.3">
      <c r="A468" t="s">
        <v>1063</v>
      </c>
      <c r="B468" t="s">
        <v>1064</v>
      </c>
      <c r="C468" t="s">
        <v>39</v>
      </c>
      <c r="D468" t="s">
        <v>40</v>
      </c>
      <c r="E468" t="s">
        <v>88</v>
      </c>
      <c r="F468" s="2">
        <v>2024</v>
      </c>
      <c r="G468" t="s">
        <v>1316</v>
      </c>
      <c r="H468">
        <v>102</v>
      </c>
      <c r="I468">
        <v>7.7</v>
      </c>
      <c r="J468">
        <v>439970</v>
      </c>
      <c r="K468">
        <v>312.61</v>
      </c>
      <c r="L468" t="s">
        <v>140</v>
      </c>
      <c r="M468" t="s">
        <v>1342</v>
      </c>
      <c r="N468" t="s">
        <v>27</v>
      </c>
      <c r="O468" s="6" t="s">
        <v>19</v>
      </c>
    </row>
    <row r="469" spans="1:15" x14ac:dyDescent="0.3">
      <c r="A469" t="s">
        <v>1065</v>
      </c>
      <c r="B469" t="s">
        <v>1066</v>
      </c>
      <c r="C469" t="s">
        <v>39</v>
      </c>
      <c r="D469" t="s">
        <v>20</v>
      </c>
      <c r="E469" t="s">
        <v>31</v>
      </c>
      <c r="F469" s="2">
        <v>2020</v>
      </c>
      <c r="G469" t="s">
        <v>1329</v>
      </c>
      <c r="H469">
        <v>101</v>
      </c>
      <c r="I469">
        <v>7</v>
      </c>
      <c r="J469">
        <v>108497</v>
      </c>
      <c r="K469">
        <v>460.75</v>
      </c>
      <c r="L469" t="s">
        <v>43</v>
      </c>
      <c r="M469" t="s">
        <v>1320</v>
      </c>
      <c r="N469" t="s">
        <v>54</v>
      </c>
      <c r="O469" s="7" t="s">
        <v>39</v>
      </c>
    </row>
    <row r="470" spans="1:15" x14ac:dyDescent="0.3">
      <c r="A470" t="s">
        <v>1067</v>
      </c>
      <c r="B470" t="s">
        <v>1068</v>
      </c>
      <c r="C470" t="s">
        <v>39</v>
      </c>
      <c r="D470" t="s">
        <v>81</v>
      </c>
      <c r="E470" t="s">
        <v>82</v>
      </c>
      <c r="F470" s="2">
        <v>2017</v>
      </c>
      <c r="G470" t="s">
        <v>1332</v>
      </c>
      <c r="H470">
        <v>102</v>
      </c>
      <c r="I470">
        <v>7.6</v>
      </c>
      <c r="J470">
        <v>836541</v>
      </c>
      <c r="K470">
        <v>21.41</v>
      </c>
      <c r="L470" t="s">
        <v>101</v>
      </c>
      <c r="M470" t="s">
        <v>1324</v>
      </c>
      <c r="N470" t="s">
        <v>60</v>
      </c>
      <c r="O470" s="6" t="s">
        <v>39</v>
      </c>
    </row>
    <row r="471" spans="1:15" x14ac:dyDescent="0.3">
      <c r="A471" t="s">
        <v>1069</v>
      </c>
      <c r="B471" t="s">
        <v>1070</v>
      </c>
      <c r="C471" t="s">
        <v>39</v>
      </c>
      <c r="D471" t="s">
        <v>20</v>
      </c>
      <c r="E471" t="s">
        <v>139</v>
      </c>
      <c r="F471" s="2">
        <v>2016</v>
      </c>
      <c r="G471" t="s">
        <v>1329</v>
      </c>
      <c r="H471">
        <v>96</v>
      </c>
      <c r="I471">
        <v>7.8</v>
      </c>
      <c r="J471">
        <v>415307</v>
      </c>
      <c r="K471">
        <v>1115.0999999999999</v>
      </c>
      <c r="L471" t="s">
        <v>66</v>
      </c>
      <c r="M471" t="s">
        <v>1315</v>
      </c>
      <c r="N471" t="s">
        <v>60</v>
      </c>
      <c r="O471" s="7" t="s">
        <v>86</v>
      </c>
    </row>
    <row r="472" spans="1:15" x14ac:dyDescent="0.3">
      <c r="A472" t="s">
        <v>1071</v>
      </c>
      <c r="B472" t="s">
        <v>1072</v>
      </c>
      <c r="C472" t="s">
        <v>112</v>
      </c>
      <c r="D472" t="s">
        <v>215</v>
      </c>
      <c r="E472" t="s">
        <v>31</v>
      </c>
      <c r="F472" s="2">
        <v>2016</v>
      </c>
      <c r="G472" t="s">
        <v>1334</v>
      </c>
      <c r="H472">
        <v>181</v>
      </c>
      <c r="I472">
        <v>6.7</v>
      </c>
      <c r="J472">
        <v>13826</v>
      </c>
      <c r="K472">
        <v>612.88</v>
      </c>
      <c r="L472" t="s">
        <v>133</v>
      </c>
      <c r="M472" t="s">
        <v>1324</v>
      </c>
      <c r="N472" t="s">
        <v>36</v>
      </c>
      <c r="O472" s="6" t="s">
        <v>19</v>
      </c>
    </row>
    <row r="473" spans="1:15" x14ac:dyDescent="0.3">
      <c r="A473" t="s">
        <v>1073</v>
      </c>
      <c r="B473" t="s">
        <v>1074</v>
      </c>
      <c r="C473" t="s">
        <v>86</v>
      </c>
      <c r="D473" t="s">
        <v>87</v>
      </c>
      <c r="E473" t="s">
        <v>88</v>
      </c>
      <c r="F473" s="2">
        <v>2022</v>
      </c>
      <c r="G473" t="s">
        <v>1326</v>
      </c>
      <c r="H473">
        <v>149</v>
      </c>
      <c r="I473">
        <v>7.7</v>
      </c>
      <c r="J473">
        <v>681921</v>
      </c>
      <c r="K473">
        <v>616.69000000000005</v>
      </c>
      <c r="L473" t="s">
        <v>89</v>
      </c>
      <c r="M473" t="s">
        <v>1330</v>
      </c>
      <c r="N473" t="s">
        <v>36</v>
      </c>
      <c r="O473" s="7" t="s">
        <v>39</v>
      </c>
    </row>
    <row r="474" spans="1:15" x14ac:dyDescent="0.3">
      <c r="A474" t="s">
        <v>1075</v>
      </c>
      <c r="B474" t="s">
        <v>1076</v>
      </c>
      <c r="C474" t="s">
        <v>112</v>
      </c>
      <c r="D474" t="s">
        <v>72</v>
      </c>
      <c r="E474" t="s">
        <v>41</v>
      </c>
      <c r="F474" s="2">
        <v>2021</v>
      </c>
      <c r="G474" t="s">
        <v>1325</v>
      </c>
      <c r="H474">
        <v>143</v>
      </c>
      <c r="I474">
        <v>7.2</v>
      </c>
      <c r="J474">
        <v>710891</v>
      </c>
      <c r="K474">
        <v>652.74</v>
      </c>
      <c r="L474" t="s">
        <v>73</v>
      </c>
      <c r="M474" t="s">
        <v>1328</v>
      </c>
      <c r="N474" t="s">
        <v>60</v>
      </c>
      <c r="O474" s="6" t="s">
        <v>116</v>
      </c>
    </row>
    <row r="475" spans="1:15" x14ac:dyDescent="0.3">
      <c r="A475" t="s">
        <v>1077</v>
      </c>
      <c r="B475" t="s">
        <v>1078</v>
      </c>
      <c r="C475" t="s">
        <v>63</v>
      </c>
      <c r="D475" t="s">
        <v>57</v>
      </c>
      <c r="E475" t="s">
        <v>208</v>
      </c>
      <c r="F475" s="2">
        <v>2021</v>
      </c>
      <c r="G475" t="s">
        <v>1331</v>
      </c>
      <c r="H475">
        <v>89</v>
      </c>
      <c r="I475">
        <v>6.3</v>
      </c>
      <c r="J475">
        <v>389784</v>
      </c>
      <c r="K475">
        <v>557.33000000000004</v>
      </c>
      <c r="L475" t="s">
        <v>101</v>
      </c>
      <c r="M475" t="s">
        <v>1324</v>
      </c>
      <c r="N475" t="s">
        <v>54</v>
      </c>
      <c r="O475" s="7" t="s">
        <v>116</v>
      </c>
    </row>
    <row r="476" spans="1:15" x14ac:dyDescent="0.3">
      <c r="A476" t="s">
        <v>1079</v>
      </c>
      <c r="B476" t="s">
        <v>1080</v>
      </c>
      <c r="C476" t="s">
        <v>144</v>
      </c>
      <c r="D476" t="s">
        <v>20</v>
      </c>
      <c r="E476" t="s">
        <v>88</v>
      </c>
      <c r="F476" s="2">
        <v>2019</v>
      </c>
      <c r="G476" t="s">
        <v>1332</v>
      </c>
      <c r="H476">
        <v>119</v>
      </c>
      <c r="I476">
        <v>7.1</v>
      </c>
      <c r="J476">
        <v>85291</v>
      </c>
      <c r="K476">
        <v>85.33</v>
      </c>
      <c r="L476" t="s">
        <v>24</v>
      </c>
      <c r="M476" t="s">
        <v>1339</v>
      </c>
      <c r="N476" t="s">
        <v>27</v>
      </c>
      <c r="O476" s="6" t="s">
        <v>19</v>
      </c>
    </row>
    <row r="477" spans="1:15" x14ac:dyDescent="0.3">
      <c r="A477" t="s">
        <v>1081</v>
      </c>
      <c r="B477" t="s">
        <v>1082</v>
      </c>
      <c r="C477" t="s">
        <v>30</v>
      </c>
      <c r="D477" t="s">
        <v>20</v>
      </c>
      <c r="E477" t="s">
        <v>88</v>
      </c>
      <c r="F477" s="2">
        <v>2018</v>
      </c>
      <c r="G477" t="s">
        <v>1340</v>
      </c>
      <c r="H477">
        <v>117</v>
      </c>
      <c r="I477">
        <v>8.3000000000000007</v>
      </c>
      <c r="J477">
        <v>84753</v>
      </c>
      <c r="K477">
        <v>187.61</v>
      </c>
      <c r="L477" t="s">
        <v>43</v>
      </c>
      <c r="M477" t="s">
        <v>1323</v>
      </c>
      <c r="N477" t="s">
        <v>152</v>
      </c>
      <c r="O477" s="7" t="s">
        <v>39</v>
      </c>
    </row>
    <row r="478" spans="1:15" x14ac:dyDescent="0.3">
      <c r="A478" t="s">
        <v>1083</v>
      </c>
      <c r="B478" t="s">
        <v>1084</v>
      </c>
      <c r="C478" t="s">
        <v>30</v>
      </c>
      <c r="D478" t="s">
        <v>20</v>
      </c>
      <c r="E478" t="s">
        <v>88</v>
      </c>
      <c r="F478" s="2">
        <v>2021</v>
      </c>
      <c r="G478" t="s">
        <v>1319</v>
      </c>
      <c r="H478">
        <v>137</v>
      </c>
      <c r="I478">
        <v>7.6</v>
      </c>
      <c r="J478">
        <v>942489</v>
      </c>
      <c r="K478">
        <v>753.78</v>
      </c>
      <c r="L478" t="s">
        <v>73</v>
      </c>
      <c r="M478" t="s">
        <v>1321</v>
      </c>
      <c r="N478" t="s">
        <v>68</v>
      </c>
      <c r="O478" s="6" t="s">
        <v>130</v>
      </c>
    </row>
    <row r="479" spans="1:15" x14ac:dyDescent="0.3">
      <c r="A479" t="s">
        <v>1085</v>
      </c>
      <c r="B479" t="s">
        <v>1086</v>
      </c>
      <c r="C479" t="s">
        <v>30</v>
      </c>
      <c r="D479" t="s">
        <v>64</v>
      </c>
      <c r="E479" t="s">
        <v>82</v>
      </c>
      <c r="F479" s="2">
        <v>2024</v>
      </c>
      <c r="G479" t="s">
        <v>1331</v>
      </c>
      <c r="H479">
        <v>96</v>
      </c>
      <c r="I479">
        <v>7.6</v>
      </c>
      <c r="J479">
        <v>910466</v>
      </c>
      <c r="K479">
        <v>403.07</v>
      </c>
      <c r="L479" t="s">
        <v>43</v>
      </c>
      <c r="M479" t="s">
        <v>1317</v>
      </c>
      <c r="N479" t="s">
        <v>123</v>
      </c>
      <c r="O479" s="7" t="s">
        <v>39</v>
      </c>
    </row>
    <row r="480" spans="1:15" x14ac:dyDescent="0.3">
      <c r="A480" t="s">
        <v>1089</v>
      </c>
      <c r="B480" t="s">
        <v>1090</v>
      </c>
      <c r="C480" t="s">
        <v>130</v>
      </c>
      <c r="D480" t="s">
        <v>20</v>
      </c>
      <c r="E480" t="s">
        <v>49</v>
      </c>
      <c r="F480" s="2">
        <v>2016</v>
      </c>
      <c r="G480" t="s">
        <v>1319</v>
      </c>
      <c r="H480">
        <v>121</v>
      </c>
      <c r="I480">
        <v>7.4</v>
      </c>
      <c r="J480">
        <v>550668</v>
      </c>
      <c r="K480">
        <v>22.93</v>
      </c>
      <c r="L480" t="s">
        <v>133</v>
      </c>
      <c r="M480" t="s">
        <v>1336</v>
      </c>
      <c r="N480" t="s">
        <v>27</v>
      </c>
      <c r="O480" s="6" t="s">
        <v>39</v>
      </c>
    </row>
    <row r="481" spans="1:15" x14ac:dyDescent="0.3">
      <c r="A481" t="s">
        <v>1091</v>
      </c>
      <c r="B481" t="s">
        <v>1092</v>
      </c>
      <c r="C481" t="s">
        <v>39</v>
      </c>
      <c r="D481" t="s">
        <v>40</v>
      </c>
      <c r="E481" t="s">
        <v>41</v>
      </c>
      <c r="F481" s="2">
        <v>2018</v>
      </c>
      <c r="G481" t="s">
        <v>1326</v>
      </c>
      <c r="H481">
        <v>179</v>
      </c>
      <c r="I481">
        <v>8.1999999999999993</v>
      </c>
      <c r="J481">
        <v>572658</v>
      </c>
      <c r="K481">
        <v>85.45</v>
      </c>
      <c r="L481" t="s">
        <v>43</v>
      </c>
      <c r="M481" t="s">
        <v>1339</v>
      </c>
      <c r="N481" t="s">
        <v>60</v>
      </c>
      <c r="O481" s="7" t="s">
        <v>39</v>
      </c>
    </row>
    <row r="482" spans="1:15" x14ac:dyDescent="0.3">
      <c r="A482" t="s">
        <v>1093</v>
      </c>
      <c r="B482" t="s">
        <v>1094</v>
      </c>
      <c r="C482" t="s">
        <v>39</v>
      </c>
      <c r="D482" t="s">
        <v>81</v>
      </c>
      <c r="E482" t="s">
        <v>41</v>
      </c>
      <c r="F482" s="2">
        <v>2016</v>
      </c>
      <c r="G482" t="s">
        <v>1340</v>
      </c>
      <c r="H482">
        <v>90</v>
      </c>
      <c r="I482">
        <v>8.5</v>
      </c>
      <c r="J482">
        <v>791670</v>
      </c>
      <c r="K482">
        <v>23.83</v>
      </c>
      <c r="L482" t="s">
        <v>83</v>
      </c>
      <c r="M482" t="s">
        <v>1330</v>
      </c>
      <c r="N482" t="s">
        <v>36</v>
      </c>
      <c r="O482" s="6" t="s">
        <v>39</v>
      </c>
    </row>
    <row r="483" spans="1:15" x14ac:dyDescent="0.3">
      <c r="A483" t="s">
        <v>1095</v>
      </c>
      <c r="B483" t="s">
        <v>1096</v>
      </c>
      <c r="C483" t="s">
        <v>144</v>
      </c>
      <c r="D483" t="s">
        <v>211</v>
      </c>
      <c r="E483" t="s">
        <v>88</v>
      </c>
      <c r="F483" s="2">
        <v>2023</v>
      </c>
      <c r="G483" t="s">
        <v>1332</v>
      </c>
      <c r="H483">
        <v>100</v>
      </c>
      <c r="I483">
        <v>5.9</v>
      </c>
      <c r="J483">
        <v>700805</v>
      </c>
      <c r="K483">
        <v>607.73</v>
      </c>
      <c r="L483" t="s">
        <v>52</v>
      </c>
      <c r="M483" t="s">
        <v>1321</v>
      </c>
      <c r="N483" t="s">
        <v>68</v>
      </c>
      <c r="O483" s="7" t="s">
        <v>39</v>
      </c>
    </row>
    <row r="484" spans="1:15" x14ac:dyDescent="0.3">
      <c r="A484" t="s">
        <v>1097</v>
      </c>
      <c r="B484" t="s">
        <v>1098</v>
      </c>
      <c r="C484" t="s">
        <v>130</v>
      </c>
      <c r="D484" t="s">
        <v>20</v>
      </c>
      <c r="E484" t="s">
        <v>41</v>
      </c>
      <c r="F484" s="2">
        <v>2022</v>
      </c>
      <c r="G484" t="s">
        <v>1340</v>
      </c>
      <c r="H484">
        <v>117</v>
      </c>
      <c r="I484">
        <v>7.2</v>
      </c>
      <c r="J484">
        <v>354287</v>
      </c>
      <c r="K484">
        <v>912.13</v>
      </c>
      <c r="L484" t="s">
        <v>133</v>
      </c>
      <c r="M484" t="s">
        <v>1341</v>
      </c>
      <c r="N484" t="s">
        <v>60</v>
      </c>
      <c r="O484" s="6" t="s">
        <v>112</v>
      </c>
    </row>
    <row r="485" spans="1:15" x14ac:dyDescent="0.3">
      <c r="A485" t="s">
        <v>1099</v>
      </c>
      <c r="B485" t="s">
        <v>1100</v>
      </c>
      <c r="C485" t="s">
        <v>86</v>
      </c>
      <c r="D485" t="s">
        <v>87</v>
      </c>
      <c r="E485" t="s">
        <v>88</v>
      </c>
      <c r="F485" s="2">
        <v>2015</v>
      </c>
      <c r="G485" t="s">
        <v>1314</v>
      </c>
      <c r="H485">
        <v>113</v>
      </c>
      <c r="I485">
        <v>8.1</v>
      </c>
      <c r="J485">
        <v>727694</v>
      </c>
      <c r="K485">
        <v>294.38</v>
      </c>
      <c r="L485" t="s">
        <v>89</v>
      </c>
      <c r="M485" t="s">
        <v>1336</v>
      </c>
      <c r="N485" t="s">
        <v>36</v>
      </c>
      <c r="O485" s="7" t="s">
        <v>86</v>
      </c>
    </row>
    <row r="486" spans="1:15" x14ac:dyDescent="0.3">
      <c r="A486" t="s">
        <v>1101</v>
      </c>
      <c r="B486" t="s">
        <v>1102</v>
      </c>
      <c r="C486" t="s">
        <v>63</v>
      </c>
      <c r="D486" t="s">
        <v>57</v>
      </c>
      <c r="E486" t="s">
        <v>208</v>
      </c>
      <c r="F486" s="2">
        <v>2020</v>
      </c>
      <c r="G486" t="s">
        <v>1319</v>
      </c>
      <c r="H486">
        <v>103</v>
      </c>
      <c r="I486">
        <v>7.2</v>
      </c>
      <c r="J486">
        <v>715719</v>
      </c>
      <c r="K486">
        <v>384.95</v>
      </c>
      <c r="L486" t="s">
        <v>83</v>
      </c>
      <c r="M486" t="s">
        <v>1341</v>
      </c>
      <c r="N486" t="s">
        <v>123</v>
      </c>
      <c r="O486" s="6" t="s">
        <v>112</v>
      </c>
    </row>
    <row r="487" spans="1:15" x14ac:dyDescent="0.3">
      <c r="A487" t="s">
        <v>1103</v>
      </c>
      <c r="B487" t="s">
        <v>1104</v>
      </c>
      <c r="C487" t="s">
        <v>86</v>
      </c>
      <c r="D487" t="s">
        <v>20</v>
      </c>
      <c r="E487" t="s">
        <v>88</v>
      </c>
      <c r="F487" s="2">
        <v>2022</v>
      </c>
      <c r="G487" t="s">
        <v>1322</v>
      </c>
      <c r="H487">
        <v>107</v>
      </c>
      <c r="I487">
        <v>7.6</v>
      </c>
      <c r="J487">
        <v>442796</v>
      </c>
      <c r="K487">
        <v>940.51</v>
      </c>
      <c r="L487" t="s">
        <v>52</v>
      </c>
      <c r="M487" t="s">
        <v>1323</v>
      </c>
      <c r="N487" t="s">
        <v>54</v>
      </c>
      <c r="O487" s="7" t="s">
        <v>63</v>
      </c>
    </row>
    <row r="488" spans="1:15" x14ac:dyDescent="0.3">
      <c r="A488" t="s">
        <v>1107</v>
      </c>
      <c r="B488" t="s">
        <v>1108</v>
      </c>
      <c r="C488" t="s">
        <v>30</v>
      </c>
      <c r="D488" t="s">
        <v>20</v>
      </c>
      <c r="E488" t="s">
        <v>49</v>
      </c>
      <c r="F488" s="2">
        <v>2022</v>
      </c>
      <c r="G488" t="s">
        <v>1329</v>
      </c>
      <c r="H488">
        <v>157</v>
      </c>
      <c r="I488">
        <v>8.1</v>
      </c>
      <c r="J488">
        <v>180879</v>
      </c>
      <c r="K488">
        <v>458.65</v>
      </c>
      <c r="L488" t="s">
        <v>140</v>
      </c>
      <c r="M488" t="s">
        <v>1320</v>
      </c>
      <c r="N488" t="s">
        <v>54</v>
      </c>
      <c r="O488" s="6" t="s">
        <v>144</v>
      </c>
    </row>
    <row r="489" spans="1:15" x14ac:dyDescent="0.3">
      <c r="A489" t="s">
        <v>1109</v>
      </c>
      <c r="B489" t="s">
        <v>1110</v>
      </c>
      <c r="C489" t="s">
        <v>144</v>
      </c>
      <c r="D489" t="s">
        <v>20</v>
      </c>
      <c r="E489" t="s">
        <v>88</v>
      </c>
      <c r="F489" s="2">
        <v>2025</v>
      </c>
      <c r="G489" t="s">
        <v>1331</v>
      </c>
      <c r="H489">
        <v>140</v>
      </c>
      <c r="I489">
        <v>5.9</v>
      </c>
      <c r="J489">
        <v>549687</v>
      </c>
      <c r="K489">
        <v>703.15</v>
      </c>
      <c r="L489" t="s">
        <v>89</v>
      </c>
      <c r="M489" t="s">
        <v>1335</v>
      </c>
      <c r="N489" t="s">
        <v>68</v>
      </c>
      <c r="O489" s="7" t="s">
        <v>39</v>
      </c>
    </row>
    <row r="490" spans="1:15" x14ac:dyDescent="0.3">
      <c r="A490" t="s">
        <v>1111</v>
      </c>
      <c r="B490" t="s">
        <v>1112</v>
      </c>
      <c r="C490" t="s">
        <v>86</v>
      </c>
      <c r="D490" t="s">
        <v>64</v>
      </c>
      <c r="E490" t="s">
        <v>88</v>
      </c>
      <c r="F490" s="2">
        <v>2023</v>
      </c>
      <c r="G490" t="s">
        <v>1326</v>
      </c>
      <c r="H490">
        <v>87</v>
      </c>
      <c r="I490">
        <v>7.1</v>
      </c>
      <c r="J490">
        <v>870793</v>
      </c>
      <c r="K490">
        <v>1194.2</v>
      </c>
      <c r="L490" t="s">
        <v>43</v>
      </c>
      <c r="M490" t="s">
        <v>1335</v>
      </c>
      <c r="N490" t="s">
        <v>54</v>
      </c>
      <c r="O490" s="6" t="s">
        <v>30</v>
      </c>
    </row>
    <row r="491" spans="1:15" x14ac:dyDescent="0.3">
      <c r="A491" t="s">
        <v>1113</v>
      </c>
      <c r="B491" t="s">
        <v>1114</v>
      </c>
      <c r="C491" t="s">
        <v>63</v>
      </c>
      <c r="D491" t="s">
        <v>20</v>
      </c>
      <c r="E491" t="s">
        <v>88</v>
      </c>
      <c r="F491" s="2">
        <v>2025</v>
      </c>
      <c r="G491" t="s">
        <v>1329</v>
      </c>
      <c r="H491">
        <v>96</v>
      </c>
      <c r="I491">
        <v>8.3000000000000007</v>
      </c>
      <c r="J491">
        <v>673845</v>
      </c>
      <c r="K491">
        <v>279.18</v>
      </c>
      <c r="L491" t="s">
        <v>34</v>
      </c>
      <c r="M491" t="s">
        <v>1333</v>
      </c>
      <c r="N491" t="s">
        <v>152</v>
      </c>
      <c r="O491" s="7" t="s">
        <v>30</v>
      </c>
    </row>
    <row r="492" spans="1:15" x14ac:dyDescent="0.3">
      <c r="A492" t="s">
        <v>1115</v>
      </c>
      <c r="B492" t="s">
        <v>1116</v>
      </c>
      <c r="C492" t="s">
        <v>39</v>
      </c>
      <c r="D492" t="s">
        <v>20</v>
      </c>
      <c r="E492" t="s">
        <v>92</v>
      </c>
      <c r="F492" s="2">
        <v>2022</v>
      </c>
      <c r="G492" t="s">
        <v>1314</v>
      </c>
      <c r="H492">
        <v>106</v>
      </c>
      <c r="I492">
        <v>6.3</v>
      </c>
      <c r="J492">
        <v>87486</v>
      </c>
      <c r="K492">
        <v>872.15</v>
      </c>
      <c r="L492" t="s">
        <v>140</v>
      </c>
      <c r="M492" t="s">
        <v>1320</v>
      </c>
      <c r="N492" t="s">
        <v>36</v>
      </c>
      <c r="O492" s="6" t="s">
        <v>30</v>
      </c>
    </row>
    <row r="493" spans="1:15" x14ac:dyDescent="0.3">
      <c r="A493" t="s">
        <v>1117</v>
      </c>
      <c r="B493" t="s">
        <v>1118</v>
      </c>
      <c r="C493" t="s">
        <v>48</v>
      </c>
      <c r="D493" t="s">
        <v>20</v>
      </c>
      <c r="E493" t="s">
        <v>41</v>
      </c>
      <c r="F493" s="2">
        <v>2015</v>
      </c>
      <c r="G493" t="s">
        <v>1340</v>
      </c>
      <c r="H493">
        <v>175</v>
      </c>
      <c r="I493">
        <v>6.4</v>
      </c>
      <c r="J493">
        <v>542100</v>
      </c>
      <c r="K493">
        <v>1007.37</v>
      </c>
      <c r="L493" t="s">
        <v>145</v>
      </c>
      <c r="M493" t="s">
        <v>1321</v>
      </c>
      <c r="N493" t="s">
        <v>123</v>
      </c>
      <c r="O493" s="7" t="s">
        <v>104</v>
      </c>
    </row>
    <row r="494" spans="1:15" x14ac:dyDescent="0.3">
      <c r="A494" t="s">
        <v>1119</v>
      </c>
      <c r="B494" t="s">
        <v>1120</v>
      </c>
      <c r="C494" t="s">
        <v>48</v>
      </c>
      <c r="D494" t="s">
        <v>20</v>
      </c>
      <c r="E494" t="s">
        <v>88</v>
      </c>
      <c r="F494" s="2">
        <v>2016</v>
      </c>
      <c r="G494" t="s">
        <v>1329</v>
      </c>
      <c r="H494">
        <v>141</v>
      </c>
      <c r="I494">
        <v>6.7</v>
      </c>
      <c r="J494">
        <v>43941</v>
      </c>
      <c r="K494">
        <v>582.39</v>
      </c>
      <c r="L494" t="s">
        <v>89</v>
      </c>
      <c r="M494" t="s">
        <v>1321</v>
      </c>
      <c r="N494" t="s">
        <v>27</v>
      </c>
      <c r="O494" s="6" t="s">
        <v>130</v>
      </c>
    </row>
    <row r="495" spans="1:15" x14ac:dyDescent="0.3">
      <c r="A495" t="s">
        <v>1121</v>
      </c>
      <c r="B495" t="s">
        <v>1122</v>
      </c>
      <c r="C495" t="s">
        <v>86</v>
      </c>
      <c r="D495" t="s">
        <v>57</v>
      </c>
      <c r="E495" t="s">
        <v>82</v>
      </c>
      <c r="F495" s="2">
        <v>2024</v>
      </c>
      <c r="G495" t="s">
        <v>1326</v>
      </c>
      <c r="H495">
        <v>182</v>
      </c>
      <c r="I495">
        <v>8.3000000000000007</v>
      </c>
      <c r="J495">
        <v>146051</v>
      </c>
      <c r="K495">
        <v>494.51</v>
      </c>
      <c r="L495" t="s">
        <v>145</v>
      </c>
      <c r="M495" t="s">
        <v>1321</v>
      </c>
      <c r="N495" t="s">
        <v>68</v>
      </c>
      <c r="O495" s="7" t="s">
        <v>39</v>
      </c>
    </row>
    <row r="496" spans="1:15" x14ac:dyDescent="0.3">
      <c r="A496" t="s">
        <v>1123</v>
      </c>
      <c r="B496" t="s">
        <v>1124</v>
      </c>
      <c r="C496" t="s">
        <v>19</v>
      </c>
      <c r="D496" t="s">
        <v>64</v>
      </c>
      <c r="E496" t="s">
        <v>208</v>
      </c>
      <c r="F496" s="2">
        <v>2025</v>
      </c>
      <c r="G496" t="s">
        <v>1322</v>
      </c>
      <c r="H496">
        <v>85</v>
      </c>
      <c r="I496">
        <v>7.6</v>
      </c>
      <c r="J496">
        <v>474812</v>
      </c>
      <c r="K496">
        <v>412</v>
      </c>
      <c r="L496" t="s">
        <v>83</v>
      </c>
      <c r="M496" t="s">
        <v>1333</v>
      </c>
      <c r="N496" t="s">
        <v>68</v>
      </c>
      <c r="O496" s="6" t="s">
        <v>39</v>
      </c>
    </row>
    <row r="497" spans="1:15" x14ac:dyDescent="0.3">
      <c r="A497" t="s">
        <v>1125</v>
      </c>
      <c r="B497" t="s">
        <v>1126</v>
      </c>
      <c r="C497" t="s">
        <v>130</v>
      </c>
      <c r="D497" t="s">
        <v>20</v>
      </c>
      <c r="E497" t="s">
        <v>49</v>
      </c>
      <c r="F497" s="2">
        <v>2024</v>
      </c>
      <c r="G497" t="s">
        <v>1314</v>
      </c>
      <c r="H497">
        <v>127</v>
      </c>
      <c r="I497">
        <v>5.8</v>
      </c>
      <c r="J497">
        <v>375286</v>
      </c>
      <c r="K497">
        <v>175.48</v>
      </c>
      <c r="L497" t="s">
        <v>140</v>
      </c>
      <c r="M497" t="s">
        <v>1338</v>
      </c>
      <c r="N497" t="s">
        <v>54</v>
      </c>
      <c r="O497" s="7" t="s">
        <v>144</v>
      </c>
    </row>
    <row r="498" spans="1:15" x14ac:dyDescent="0.3">
      <c r="A498" t="s">
        <v>1127</v>
      </c>
      <c r="B498" t="s">
        <v>1128</v>
      </c>
      <c r="C498" t="s">
        <v>130</v>
      </c>
      <c r="D498" t="s">
        <v>72</v>
      </c>
      <c r="E498" t="s">
        <v>41</v>
      </c>
      <c r="F498" s="2">
        <v>2019</v>
      </c>
      <c r="G498" t="s">
        <v>1334</v>
      </c>
      <c r="H498">
        <v>171</v>
      </c>
      <c r="I498">
        <v>6.3</v>
      </c>
      <c r="J498">
        <v>855579</v>
      </c>
      <c r="K498">
        <v>185.76</v>
      </c>
      <c r="L498" t="s">
        <v>66</v>
      </c>
      <c r="M498" t="s">
        <v>1320</v>
      </c>
      <c r="N498" t="s">
        <v>68</v>
      </c>
      <c r="O498" s="6" t="s">
        <v>130</v>
      </c>
    </row>
    <row r="499" spans="1:15" x14ac:dyDescent="0.3">
      <c r="A499" t="s">
        <v>1129</v>
      </c>
      <c r="B499" t="s">
        <v>1130</v>
      </c>
      <c r="C499" t="s">
        <v>71</v>
      </c>
      <c r="D499" t="s">
        <v>87</v>
      </c>
      <c r="E499" t="s">
        <v>21</v>
      </c>
      <c r="F499" s="2">
        <v>2020</v>
      </c>
      <c r="G499" t="s">
        <v>1327</v>
      </c>
      <c r="H499">
        <v>159</v>
      </c>
      <c r="I499">
        <v>9.3000000000000007</v>
      </c>
      <c r="J499">
        <v>424631</v>
      </c>
      <c r="K499">
        <v>1381.87</v>
      </c>
      <c r="L499" t="s">
        <v>34</v>
      </c>
      <c r="M499" t="s">
        <v>1335</v>
      </c>
      <c r="N499" t="s">
        <v>152</v>
      </c>
      <c r="O499" s="7" t="s">
        <v>86</v>
      </c>
    </row>
    <row r="500" spans="1:15" x14ac:dyDescent="0.3">
      <c r="A500" t="s">
        <v>1131</v>
      </c>
      <c r="B500" t="s">
        <v>1132</v>
      </c>
      <c r="C500" t="s">
        <v>86</v>
      </c>
      <c r="D500" t="s">
        <v>20</v>
      </c>
      <c r="E500" t="s">
        <v>41</v>
      </c>
      <c r="F500" s="2">
        <v>2020</v>
      </c>
      <c r="G500" t="s">
        <v>1334</v>
      </c>
      <c r="H500">
        <v>185</v>
      </c>
      <c r="I500">
        <v>6.8</v>
      </c>
      <c r="J500">
        <v>935915</v>
      </c>
      <c r="K500">
        <v>231.89</v>
      </c>
      <c r="L500" t="s">
        <v>34</v>
      </c>
      <c r="M500" t="s">
        <v>1330</v>
      </c>
      <c r="N500" t="s">
        <v>152</v>
      </c>
      <c r="O500" s="6" t="s">
        <v>63</v>
      </c>
    </row>
    <row r="501" spans="1:15" x14ac:dyDescent="0.3">
      <c r="A501" t="s">
        <v>1133</v>
      </c>
      <c r="B501" t="s">
        <v>1134</v>
      </c>
      <c r="C501" t="s">
        <v>63</v>
      </c>
      <c r="D501" t="s">
        <v>20</v>
      </c>
      <c r="E501" t="s">
        <v>21</v>
      </c>
      <c r="F501" s="2">
        <v>2023</v>
      </c>
      <c r="G501" t="s">
        <v>1316</v>
      </c>
      <c r="H501">
        <v>179</v>
      </c>
      <c r="I501">
        <v>6.2</v>
      </c>
      <c r="J501">
        <v>232051</v>
      </c>
      <c r="K501">
        <v>323.54000000000002</v>
      </c>
      <c r="L501" t="s">
        <v>73</v>
      </c>
      <c r="M501" t="s">
        <v>1341</v>
      </c>
      <c r="N501" t="s">
        <v>123</v>
      </c>
      <c r="O501" s="7" t="s">
        <v>86</v>
      </c>
    </row>
    <row r="502" spans="1:15" x14ac:dyDescent="0.3">
      <c r="A502" t="s">
        <v>1135</v>
      </c>
      <c r="B502" t="s">
        <v>1136</v>
      </c>
      <c r="C502" t="s">
        <v>112</v>
      </c>
      <c r="D502" t="s">
        <v>20</v>
      </c>
      <c r="E502" t="s">
        <v>31</v>
      </c>
      <c r="F502" s="2">
        <v>2021</v>
      </c>
      <c r="G502" t="s">
        <v>1332</v>
      </c>
      <c r="H502">
        <v>103</v>
      </c>
      <c r="I502">
        <v>6.4</v>
      </c>
      <c r="J502">
        <v>112802</v>
      </c>
      <c r="K502">
        <v>331.64</v>
      </c>
      <c r="L502" t="s">
        <v>109</v>
      </c>
      <c r="M502" t="s">
        <v>1318</v>
      </c>
      <c r="N502" t="s">
        <v>152</v>
      </c>
      <c r="O502" s="6" t="s">
        <v>19</v>
      </c>
    </row>
    <row r="503" spans="1:15" x14ac:dyDescent="0.3">
      <c r="A503" t="s">
        <v>1137</v>
      </c>
      <c r="B503" t="s">
        <v>1138</v>
      </c>
      <c r="C503" t="s">
        <v>116</v>
      </c>
      <c r="D503" t="s">
        <v>64</v>
      </c>
      <c r="E503" t="s">
        <v>31</v>
      </c>
      <c r="F503" s="2">
        <v>2022</v>
      </c>
      <c r="G503" t="s">
        <v>1325</v>
      </c>
      <c r="H503">
        <v>88</v>
      </c>
      <c r="I503">
        <v>7.1</v>
      </c>
      <c r="J503">
        <v>435850</v>
      </c>
      <c r="K503">
        <v>63.33</v>
      </c>
      <c r="L503" t="s">
        <v>109</v>
      </c>
      <c r="M503" t="s">
        <v>1338</v>
      </c>
      <c r="N503" t="s">
        <v>36</v>
      </c>
      <c r="O503" s="7" t="s">
        <v>30</v>
      </c>
    </row>
    <row r="504" spans="1:15" x14ac:dyDescent="0.3">
      <c r="A504" t="s">
        <v>1139</v>
      </c>
      <c r="B504" t="s">
        <v>1140</v>
      </c>
      <c r="C504" t="s">
        <v>144</v>
      </c>
      <c r="D504" t="s">
        <v>211</v>
      </c>
      <c r="E504" t="s">
        <v>88</v>
      </c>
      <c r="F504" s="2">
        <v>2015</v>
      </c>
      <c r="G504" t="s">
        <v>1319</v>
      </c>
      <c r="H504">
        <v>120</v>
      </c>
      <c r="I504">
        <v>6.5</v>
      </c>
      <c r="J504">
        <v>584435</v>
      </c>
      <c r="K504">
        <v>126.84</v>
      </c>
      <c r="L504" t="s">
        <v>73</v>
      </c>
      <c r="M504" t="s">
        <v>1336</v>
      </c>
      <c r="N504" t="s">
        <v>123</v>
      </c>
      <c r="O504" s="6" t="s">
        <v>144</v>
      </c>
    </row>
    <row r="505" spans="1:15" x14ac:dyDescent="0.3">
      <c r="A505" t="s">
        <v>1141</v>
      </c>
      <c r="B505" t="s">
        <v>1142</v>
      </c>
      <c r="C505" t="s">
        <v>116</v>
      </c>
      <c r="D505" t="s">
        <v>20</v>
      </c>
      <c r="E505" t="s">
        <v>31</v>
      </c>
      <c r="F505" s="2">
        <v>2024</v>
      </c>
      <c r="G505" t="s">
        <v>1325</v>
      </c>
      <c r="H505">
        <v>87</v>
      </c>
      <c r="I505">
        <v>7.2</v>
      </c>
      <c r="J505">
        <v>183510</v>
      </c>
      <c r="K505">
        <v>111.84</v>
      </c>
      <c r="L505" t="s">
        <v>101</v>
      </c>
      <c r="M505" t="s">
        <v>1342</v>
      </c>
      <c r="N505" t="s">
        <v>27</v>
      </c>
      <c r="O505" s="7" t="s">
        <v>86</v>
      </c>
    </row>
    <row r="506" spans="1:15" x14ac:dyDescent="0.3">
      <c r="A506" t="s">
        <v>1143</v>
      </c>
      <c r="B506" t="s">
        <v>1144</v>
      </c>
      <c r="C506" t="s">
        <v>39</v>
      </c>
      <c r="D506" t="s">
        <v>40</v>
      </c>
      <c r="E506" t="s">
        <v>41</v>
      </c>
      <c r="F506" s="2">
        <v>2025</v>
      </c>
      <c r="G506" t="s">
        <v>1326</v>
      </c>
      <c r="H506">
        <v>160</v>
      </c>
      <c r="I506">
        <v>7</v>
      </c>
      <c r="J506">
        <v>609651</v>
      </c>
      <c r="K506">
        <v>209.79</v>
      </c>
      <c r="L506" t="s">
        <v>119</v>
      </c>
      <c r="M506" t="s">
        <v>1320</v>
      </c>
      <c r="N506" t="s">
        <v>152</v>
      </c>
      <c r="O506" s="6" t="s">
        <v>63</v>
      </c>
    </row>
    <row r="507" spans="1:15" x14ac:dyDescent="0.3">
      <c r="A507" t="s">
        <v>1145</v>
      </c>
      <c r="B507" t="s">
        <v>1146</v>
      </c>
      <c r="C507" t="s">
        <v>39</v>
      </c>
      <c r="D507" t="s">
        <v>64</v>
      </c>
      <c r="E507" t="s">
        <v>41</v>
      </c>
      <c r="F507" s="2">
        <v>2020</v>
      </c>
      <c r="G507" t="s">
        <v>1326</v>
      </c>
      <c r="H507">
        <v>189</v>
      </c>
      <c r="I507">
        <v>5.0999999999999996</v>
      </c>
      <c r="J507">
        <v>549332</v>
      </c>
      <c r="K507">
        <v>591.66</v>
      </c>
      <c r="L507" t="s">
        <v>73</v>
      </c>
      <c r="M507" t="s">
        <v>1342</v>
      </c>
      <c r="N507" t="s">
        <v>36</v>
      </c>
      <c r="O507" s="7" t="s">
        <v>39</v>
      </c>
    </row>
    <row r="508" spans="1:15" x14ac:dyDescent="0.3">
      <c r="A508" t="s">
        <v>1147</v>
      </c>
      <c r="B508" t="s">
        <v>1148</v>
      </c>
      <c r="C508" t="s">
        <v>116</v>
      </c>
      <c r="D508" t="s">
        <v>20</v>
      </c>
      <c r="E508" t="s">
        <v>41</v>
      </c>
      <c r="F508" s="2">
        <v>2022</v>
      </c>
      <c r="G508" t="s">
        <v>1319</v>
      </c>
      <c r="H508">
        <v>171</v>
      </c>
      <c r="I508">
        <v>6.8</v>
      </c>
      <c r="J508">
        <v>43810</v>
      </c>
      <c r="K508">
        <v>114.01</v>
      </c>
      <c r="L508" t="s">
        <v>119</v>
      </c>
      <c r="M508" t="s">
        <v>1315</v>
      </c>
      <c r="N508" t="s">
        <v>123</v>
      </c>
      <c r="O508" s="6" t="s">
        <v>48</v>
      </c>
    </row>
    <row r="509" spans="1:15" x14ac:dyDescent="0.3">
      <c r="A509" t="s">
        <v>1149</v>
      </c>
      <c r="B509" t="s">
        <v>1150</v>
      </c>
      <c r="C509" t="s">
        <v>144</v>
      </c>
      <c r="D509" t="s">
        <v>20</v>
      </c>
      <c r="E509" t="s">
        <v>88</v>
      </c>
      <c r="F509" s="2">
        <v>2016</v>
      </c>
      <c r="G509" t="s">
        <v>1322</v>
      </c>
      <c r="H509">
        <v>128</v>
      </c>
      <c r="I509">
        <v>7.7</v>
      </c>
      <c r="J509">
        <v>680245</v>
      </c>
      <c r="K509">
        <v>179.39</v>
      </c>
      <c r="L509" t="s">
        <v>101</v>
      </c>
      <c r="M509" t="s">
        <v>1333</v>
      </c>
      <c r="N509" t="s">
        <v>36</v>
      </c>
      <c r="O509" s="7" t="s">
        <v>48</v>
      </c>
    </row>
    <row r="510" spans="1:15" x14ac:dyDescent="0.3">
      <c r="A510" t="s">
        <v>1151</v>
      </c>
      <c r="B510" t="s">
        <v>1152</v>
      </c>
      <c r="C510" t="s">
        <v>130</v>
      </c>
      <c r="D510" t="s">
        <v>20</v>
      </c>
      <c r="E510" t="s">
        <v>41</v>
      </c>
      <c r="F510" s="2">
        <v>2023</v>
      </c>
      <c r="G510" t="s">
        <v>1319</v>
      </c>
      <c r="H510">
        <v>102</v>
      </c>
      <c r="I510">
        <v>7.4</v>
      </c>
      <c r="J510">
        <v>597096</v>
      </c>
      <c r="K510">
        <v>19.2</v>
      </c>
      <c r="L510" t="s">
        <v>119</v>
      </c>
      <c r="M510" t="s">
        <v>1320</v>
      </c>
      <c r="N510" t="s">
        <v>152</v>
      </c>
      <c r="O510" s="6" t="s">
        <v>86</v>
      </c>
    </row>
    <row r="511" spans="1:15" x14ac:dyDescent="0.3">
      <c r="A511" t="s">
        <v>1153</v>
      </c>
      <c r="B511" t="s">
        <v>1154</v>
      </c>
      <c r="C511" t="s">
        <v>19</v>
      </c>
      <c r="D511" t="s">
        <v>64</v>
      </c>
      <c r="E511" t="s">
        <v>82</v>
      </c>
      <c r="F511" s="2">
        <v>2016</v>
      </c>
      <c r="G511" t="s">
        <v>1322</v>
      </c>
      <c r="H511">
        <v>118</v>
      </c>
      <c r="I511">
        <v>7.1</v>
      </c>
      <c r="J511">
        <v>227022</v>
      </c>
      <c r="K511">
        <v>14.32</v>
      </c>
      <c r="L511" t="s">
        <v>101</v>
      </c>
      <c r="M511" t="s">
        <v>1343</v>
      </c>
      <c r="N511" t="s">
        <v>68</v>
      </c>
      <c r="O511" s="7" t="s">
        <v>19</v>
      </c>
    </row>
    <row r="512" spans="1:15" x14ac:dyDescent="0.3">
      <c r="A512" t="s">
        <v>1155</v>
      </c>
      <c r="B512" t="s">
        <v>1156</v>
      </c>
      <c r="C512" t="s">
        <v>30</v>
      </c>
      <c r="D512" t="s">
        <v>20</v>
      </c>
      <c r="E512" t="s">
        <v>31</v>
      </c>
      <c r="F512" s="2">
        <v>2016</v>
      </c>
      <c r="G512" t="s">
        <v>1325</v>
      </c>
      <c r="H512">
        <v>189</v>
      </c>
      <c r="I512">
        <v>6.5</v>
      </c>
      <c r="J512">
        <v>360170</v>
      </c>
      <c r="K512">
        <v>165.02</v>
      </c>
      <c r="L512" t="s">
        <v>140</v>
      </c>
      <c r="M512" t="s">
        <v>1341</v>
      </c>
      <c r="N512" t="s">
        <v>68</v>
      </c>
      <c r="O512" s="6" t="s">
        <v>130</v>
      </c>
    </row>
    <row r="513" spans="1:15" x14ac:dyDescent="0.3">
      <c r="A513" t="s">
        <v>1157</v>
      </c>
      <c r="B513" t="s">
        <v>1158</v>
      </c>
      <c r="C513" t="s">
        <v>86</v>
      </c>
      <c r="D513" t="s">
        <v>20</v>
      </c>
      <c r="E513" t="s">
        <v>82</v>
      </c>
      <c r="F513" s="2">
        <v>2016</v>
      </c>
      <c r="G513" t="s">
        <v>1316</v>
      </c>
      <c r="H513">
        <v>153</v>
      </c>
      <c r="I513">
        <v>6.8</v>
      </c>
      <c r="J513">
        <v>800013</v>
      </c>
      <c r="K513">
        <v>360.75</v>
      </c>
      <c r="L513" t="s">
        <v>140</v>
      </c>
      <c r="M513" t="s">
        <v>1328</v>
      </c>
      <c r="N513" t="s">
        <v>54</v>
      </c>
      <c r="O513" s="7" t="s">
        <v>130</v>
      </c>
    </row>
    <row r="514" spans="1:15" x14ac:dyDescent="0.3">
      <c r="A514" t="s">
        <v>1159</v>
      </c>
      <c r="B514" t="s">
        <v>1160</v>
      </c>
      <c r="C514" t="s">
        <v>144</v>
      </c>
      <c r="D514" t="s">
        <v>215</v>
      </c>
      <c r="E514" t="s">
        <v>41</v>
      </c>
      <c r="F514" s="2">
        <v>2018</v>
      </c>
      <c r="G514" t="s">
        <v>1314</v>
      </c>
      <c r="H514">
        <v>128</v>
      </c>
      <c r="I514">
        <v>7.1</v>
      </c>
      <c r="J514">
        <v>279737</v>
      </c>
      <c r="K514">
        <v>552.71</v>
      </c>
      <c r="L514" t="s">
        <v>145</v>
      </c>
      <c r="M514" t="s">
        <v>1337</v>
      </c>
      <c r="N514" t="s">
        <v>68</v>
      </c>
      <c r="O514" s="6" t="s">
        <v>71</v>
      </c>
    </row>
    <row r="515" spans="1:15" x14ac:dyDescent="0.3">
      <c r="A515" t="s">
        <v>1161</v>
      </c>
      <c r="B515" t="s">
        <v>1162</v>
      </c>
      <c r="C515" t="s">
        <v>144</v>
      </c>
      <c r="D515" t="s">
        <v>20</v>
      </c>
      <c r="E515" t="s">
        <v>82</v>
      </c>
      <c r="F515" s="2">
        <v>2016</v>
      </c>
      <c r="G515" t="s">
        <v>1327</v>
      </c>
      <c r="H515">
        <v>131</v>
      </c>
      <c r="I515">
        <v>7.7</v>
      </c>
      <c r="J515">
        <v>206998</v>
      </c>
      <c r="K515">
        <v>419.37</v>
      </c>
      <c r="L515" t="s">
        <v>179</v>
      </c>
      <c r="M515" t="s">
        <v>1330</v>
      </c>
      <c r="N515" t="s">
        <v>54</v>
      </c>
      <c r="O515" s="7" t="s">
        <v>86</v>
      </c>
    </row>
    <row r="516" spans="1:15" x14ac:dyDescent="0.3">
      <c r="A516" t="s">
        <v>1163</v>
      </c>
      <c r="B516" t="s">
        <v>1164</v>
      </c>
      <c r="C516" t="s">
        <v>39</v>
      </c>
      <c r="D516" t="s">
        <v>211</v>
      </c>
      <c r="E516" t="s">
        <v>208</v>
      </c>
      <c r="F516" s="2">
        <v>2020</v>
      </c>
      <c r="G516" t="s">
        <v>1322</v>
      </c>
      <c r="H516">
        <v>190</v>
      </c>
      <c r="I516">
        <v>7.1</v>
      </c>
      <c r="J516">
        <v>294171</v>
      </c>
      <c r="K516">
        <v>1101.4000000000001</v>
      </c>
      <c r="L516" t="s">
        <v>24</v>
      </c>
      <c r="M516" t="s">
        <v>1341</v>
      </c>
      <c r="N516" t="s">
        <v>123</v>
      </c>
      <c r="O516" s="6" t="s">
        <v>63</v>
      </c>
    </row>
    <row r="517" spans="1:15" x14ac:dyDescent="0.3">
      <c r="A517" t="s">
        <v>1165</v>
      </c>
      <c r="B517" t="s">
        <v>1166</v>
      </c>
      <c r="C517" t="s">
        <v>30</v>
      </c>
      <c r="D517" t="s">
        <v>20</v>
      </c>
      <c r="E517" t="s">
        <v>31</v>
      </c>
      <c r="F517" s="2">
        <v>2019</v>
      </c>
      <c r="G517" t="s">
        <v>1332</v>
      </c>
      <c r="H517">
        <v>180</v>
      </c>
      <c r="I517">
        <v>6.2</v>
      </c>
      <c r="J517">
        <v>95569</v>
      </c>
      <c r="K517">
        <v>160</v>
      </c>
      <c r="L517" t="s">
        <v>89</v>
      </c>
      <c r="M517" t="s">
        <v>1333</v>
      </c>
      <c r="N517" t="s">
        <v>152</v>
      </c>
      <c r="O517" s="7" t="s">
        <v>112</v>
      </c>
    </row>
    <row r="518" spans="1:15" x14ac:dyDescent="0.3">
      <c r="A518" t="s">
        <v>1167</v>
      </c>
      <c r="B518" t="s">
        <v>1168</v>
      </c>
      <c r="C518" t="s">
        <v>104</v>
      </c>
      <c r="D518" t="s">
        <v>87</v>
      </c>
      <c r="E518" t="s">
        <v>192</v>
      </c>
      <c r="F518" s="2">
        <v>2025</v>
      </c>
      <c r="G518" t="s">
        <v>1326</v>
      </c>
      <c r="H518">
        <v>85</v>
      </c>
      <c r="I518">
        <v>8.8000000000000007</v>
      </c>
      <c r="J518">
        <v>287378</v>
      </c>
      <c r="K518">
        <v>965.42</v>
      </c>
      <c r="L518" t="s">
        <v>34</v>
      </c>
      <c r="M518" t="s">
        <v>1339</v>
      </c>
      <c r="N518" t="s">
        <v>68</v>
      </c>
      <c r="O518" s="6" t="s">
        <v>116</v>
      </c>
    </row>
    <row r="519" spans="1:15" x14ac:dyDescent="0.3">
      <c r="A519" t="s">
        <v>1169</v>
      </c>
      <c r="B519" t="s">
        <v>1170</v>
      </c>
      <c r="C519" t="s">
        <v>144</v>
      </c>
      <c r="D519" t="s">
        <v>20</v>
      </c>
      <c r="E519" t="s">
        <v>208</v>
      </c>
      <c r="F519" s="2">
        <v>2017</v>
      </c>
      <c r="G519" t="s">
        <v>1340</v>
      </c>
      <c r="H519">
        <v>178</v>
      </c>
      <c r="I519">
        <v>6.5</v>
      </c>
      <c r="J519">
        <v>45035</v>
      </c>
      <c r="K519">
        <v>836.78</v>
      </c>
      <c r="L519" t="s">
        <v>140</v>
      </c>
      <c r="M519" t="s">
        <v>1323</v>
      </c>
      <c r="N519" t="s">
        <v>36</v>
      </c>
      <c r="O519" s="7" t="s">
        <v>144</v>
      </c>
    </row>
    <row r="520" spans="1:15" x14ac:dyDescent="0.3">
      <c r="A520" t="s">
        <v>1171</v>
      </c>
      <c r="B520" t="s">
        <v>1172</v>
      </c>
      <c r="C520" t="s">
        <v>19</v>
      </c>
      <c r="D520" t="s">
        <v>20</v>
      </c>
      <c r="E520" t="s">
        <v>31</v>
      </c>
      <c r="F520" s="2">
        <v>2017</v>
      </c>
      <c r="G520" t="s">
        <v>1322</v>
      </c>
      <c r="H520">
        <v>112</v>
      </c>
      <c r="I520">
        <v>7.5</v>
      </c>
      <c r="J520">
        <v>661258</v>
      </c>
      <c r="K520">
        <v>149.81</v>
      </c>
      <c r="L520" t="s">
        <v>34</v>
      </c>
      <c r="M520" t="s">
        <v>1324</v>
      </c>
      <c r="N520" t="s">
        <v>60</v>
      </c>
      <c r="O520" s="6" t="s">
        <v>116</v>
      </c>
    </row>
    <row r="521" spans="1:15" x14ac:dyDescent="0.3">
      <c r="A521" t="s">
        <v>1173</v>
      </c>
      <c r="B521" t="s">
        <v>1174</v>
      </c>
      <c r="C521" t="s">
        <v>48</v>
      </c>
      <c r="D521" t="s">
        <v>20</v>
      </c>
      <c r="E521" t="s">
        <v>49</v>
      </c>
      <c r="F521" s="2">
        <v>2016</v>
      </c>
      <c r="G521" t="s">
        <v>1329</v>
      </c>
      <c r="H521">
        <v>119</v>
      </c>
      <c r="I521">
        <v>7.8</v>
      </c>
      <c r="J521">
        <v>9402</v>
      </c>
      <c r="K521">
        <v>108.1</v>
      </c>
      <c r="L521" t="s">
        <v>179</v>
      </c>
      <c r="M521" t="s">
        <v>1336</v>
      </c>
      <c r="N521" t="s">
        <v>54</v>
      </c>
      <c r="O521" s="7" t="s">
        <v>39</v>
      </c>
    </row>
    <row r="522" spans="1:15" x14ac:dyDescent="0.3">
      <c r="A522" t="s">
        <v>1175</v>
      </c>
      <c r="B522" t="s">
        <v>1176</v>
      </c>
      <c r="C522" t="s">
        <v>144</v>
      </c>
      <c r="D522" t="s">
        <v>20</v>
      </c>
      <c r="E522" t="s">
        <v>49</v>
      </c>
      <c r="F522" s="2">
        <v>2020</v>
      </c>
      <c r="G522" t="s">
        <v>1332</v>
      </c>
      <c r="H522">
        <v>132</v>
      </c>
      <c r="I522">
        <v>7.5</v>
      </c>
      <c r="J522">
        <v>328922</v>
      </c>
      <c r="K522">
        <v>478.14</v>
      </c>
      <c r="L522" t="s">
        <v>24</v>
      </c>
      <c r="M522" t="s">
        <v>1330</v>
      </c>
      <c r="N522" t="s">
        <v>54</v>
      </c>
      <c r="O522" s="6" t="s">
        <v>39</v>
      </c>
    </row>
    <row r="523" spans="1:15" x14ac:dyDescent="0.3">
      <c r="A523" t="s">
        <v>1177</v>
      </c>
      <c r="B523" t="s">
        <v>1178</v>
      </c>
      <c r="C523" t="s">
        <v>39</v>
      </c>
      <c r="D523" t="s">
        <v>64</v>
      </c>
      <c r="E523" t="s">
        <v>41</v>
      </c>
      <c r="F523" s="2">
        <v>2023</v>
      </c>
      <c r="G523" t="s">
        <v>1319</v>
      </c>
      <c r="H523">
        <v>113</v>
      </c>
      <c r="I523">
        <v>7.9</v>
      </c>
      <c r="J523">
        <v>471829</v>
      </c>
      <c r="K523">
        <v>921.9</v>
      </c>
      <c r="L523" t="s">
        <v>52</v>
      </c>
      <c r="M523" t="s">
        <v>1333</v>
      </c>
      <c r="N523" t="s">
        <v>54</v>
      </c>
      <c r="O523" s="7" t="s">
        <v>116</v>
      </c>
    </row>
    <row r="524" spans="1:15" x14ac:dyDescent="0.3">
      <c r="A524" t="s">
        <v>1179</v>
      </c>
      <c r="B524" t="s">
        <v>1180</v>
      </c>
      <c r="C524" t="s">
        <v>19</v>
      </c>
      <c r="D524" t="s">
        <v>64</v>
      </c>
      <c r="E524" t="s">
        <v>88</v>
      </c>
      <c r="F524" s="2">
        <v>2017</v>
      </c>
      <c r="G524" t="s">
        <v>1340</v>
      </c>
      <c r="H524">
        <v>150</v>
      </c>
      <c r="I524">
        <v>7.5</v>
      </c>
      <c r="J524">
        <v>41894</v>
      </c>
      <c r="K524">
        <v>397.69</v>
      </c>
      <c r="L524" t="s">
        <v>140</v>
      </c>
      <c r="M524" t="s">
        <v>1333</v>
      </c>
      <c r="N524" t="s">
        <v>27</v>
      </c>
      <c r="O524" s="6" t="s">
        <v>144</v>
      </c>
    </row>
    <row r="525" spans="1:15" x14ac:dyDescent="0.3">
      <c r="A525" t="s">
        <v>1181</v>
      </c>
      <c r="B525" t="s">
        <v>1182</v>
      </c>
      <c r="C525" t="s">
        <v>39</v>
      </c>
      <c r="D525" t="s">
        <v>40</v>
      </c>
      <c r="E525" t="s">
        <v>88</v>
      </c>
      <c r="F525" s="2">
        <v>2019</v>
      </c>
      <c r="G525" t="s">
        <v>1326</v>
      </c>
      <c r="H525">
        <v>175</v>
      </c>
      <c r="I525">
        <v>8.6999999999999993</v>
      </c>
      <c r="J525">
        <v>490624</v>
      </c>
      <c r="K525">
        <v>823.18</v>
      </c>
      <c r="L525" t="s">
        <v>73</v>
      </c>
      <c r="M525" t="s">
        <v>1321</v>
      </c>
      <c r="N525" t="s">
        <v>123</v>
      </c>
      <c r="O525" s="7" t="s">
        <v>130</v>
      </c>
    </row>
    <row r="526" spans="1:15" x14ac:dyDescent="0.3">
      <c r="A526" t="s">
        <v>1183</v>
      </c>
      <c r="B526" t="s">
        <v>1184</v>
      </c>
      <c r="C526" t="s">
        <v>19</v>
      </c>
      <c r="D526" t="s">
        <v>87</v>
      </c>
      <c r="E526" t="s">
        <v>41</v>
      </c>
      <c r="F526" s="2">
        <v>2015</v>
      </c>
      <c r="G526" t="s">
        <v>1334</v>
      </c>
      <c r="H526">
        <v>146</v>
      </c>
      <c r="I526">
        <v>5.5</v>
      </c>
      <c r="J526">
        <v>1516</v>
      </c>
      <c r="K526">
        <v>414.16</v>
      </c>
      <c r="L526" t="s">
        <v>34</v>
      </c>
      <c r="M526" t="s">
        <v>1333</v>
      </c>
      <c r="N526" t="s">
        <v>152</v>
      </c>
      <c r="O526" s="6" t="s">
        <v>19</v>
      </c>
    </row>
    <row r="527" spans="1:15" x14ac:dyDescent="0.3">
      <c r="A527" t="s">
        <v>1185</v>
      </c>
      <c r="B527" t="s">
        <v>1186</v>
      </c>
      <c r="C527" t="s">
        <v>63</v>
      </c>
      <c r="D527" t="s">
        <v>64</v>
      </c>
      <c r="E527" t="s">
        <v>88</v>
      </c>
      <c r="F527" s="2">
        <v>2017</v>
      </c>
      <c r="G527" t="s">
        <v>1319</v>
      </c>
      <c r="H527">
        <v>111</v>
      </c>
      <c r="I527">
        <v>7.9</v>
      </c>
      <c r="J527">
        <v>630032</v>
      </c>
      <c r="K527">
        <v>350.58</v>
      </c>
      <c r="L527" t="s">
        <v>109</v>
      </c>
      <c r="M527" t="s">
        <v>1333</v>
      </c>
      <c r="N527" t="s">
        <v>68</v>
      </c>
      <c r="O527" s="7" t="s">
        <v>30</v>
      </c>
    </row>
    <row r="528" spans="1:15" x14ac:dyDescent="0.3">
      <c r="A528" t="s">
        <v>1187</v>
      </c>
      <c r="B528" t="s">
        <v>1188</v>
      </c>
      <c r="C528" t="s">
        <v>86</v>
      </c>
      <c r="D528" t="s">
        <v>20</v>
      </c>
      <c r="E528" t="s">
        <v>49</v>
      </c>
      <c r="F528" s="2">
        <v>2023</v>
      </c>
      <c r="G528" t="s">
        <v>1314</v>
      </c>
      <c r="H528">
        <v>177</v>
      </c>
      <c r="I528">
        <v>7.5</v>
      </c>
      <c r="J528">
        <v>90847</v>
      </c>
      <c r="K528">
        <v>163.94</v>
      </c>
      <c r="L528" t="s">
        <v>179</v>
      </c>
      <c r="M528" t="s">
        <v>1321</v>
      </c>
      <c r="N528" t="s">
        <v>68</v>
      </c>
      <c r="O528" s="6" t="s">
        <v>86</v>
      </c>
    </row>
    <row r="529" spans="1:15" x14ac:dyDescent="0.3">
      <c r="A529" t="s">
        <v>1189</v>
      </c>
      <c r="B529" t="s">
        <v>1190</v>
      </c>
      <c r="C529" t="s">
        <v>86</v>
      </c>
      <c r="D529" t="s">
        <v>87</v>
      </c>
      <c r="E529" t="s">
        <v>88</v>
      </c>
      <c r="F529" s="2">
        <v>2017</v>
      </c>
      <c r="G529" t="s">
        <v>1322</v>
      </c>
      <c r="H529">
        <v>110</v>
      </c>
      <c r="I529">
        <v>7.6</v>
      </c>
      <c r="J529">
        <v>34162</v>
      </c>
      <c r="K529">
        <v>919.56</v>
      </c>
      <c r="L529" t="s">
        <v>101</v>
      </c>
      <c r="M529" t="s">
        <v>1318</v>
      </c>
      <c r="N529" t="s">
        <v>54</v>
      </c>
      <c r="O529" s="7" t="s">
        <v>144</v>
      </c>
    </row>
    <row r="530" spans="1:15" x14ac:dyDescent="0.3">
      <c r="A530" t="s">
        <v>1191</v>
      </c>
      <c r="B530" t="s">
        <v>1192</v>
      </c>
      <c r="C530" t="s">
        <v>63</v>
      </c>
      <c r="D530" t="s">
        <v>20</v>
      </c>
      <c r="E530" t="s">
        <v>31</v>
      </c>
      <c r="F530" s="2">
        <v>2023</v>
      </c>
      <c r="G530" t="s">
        <v>1327</v>
      </c>
      <c r="H530">
        <v>124</v>
      </c>
      <c r="I530">
        <v>7.1</v>
      </c>
      <c r="J530">
        <v>221056</v>
      </c>
      <c r="K530">
        <v>1285.6300000000001</v>
      </c>
      <c r="L530" t="s">
        <v>179</v>
      </c>
      <c r="M530" t="s">
        <v>1315</v>
      </c>
      <c r="N530" t="s">
        <v>36</v>
      </c>
      <c r="O530" s="6" t="s">
        <v>144</v>
      </c>
    </row>
    <row r="531" spans="1:15" x14ac:dyDescent="0.3">
      <c r="A531" t="s">
        <v>1193</v>
      </c>
      <c r="B531" t="s">
        <v>1194</v>
      </c>
      <c r="C531" t="s">
        <v>19</v>
      </c>
      <c r="D531" t="s">
        <v>20</v>
      </c>
      <c r="E531" t="s">
        <v>31</v>
      </c>
      <c r="F531" s="2">
        <v>2018</v>
      </c>
      <c r="G531" t="s">
        <v>1331</v>
      </c>
      <c r="H531">
        <v>172</v>
      </c>
      <c r="I531">
        <v>6.7</v>
      </c>
      <c r="J531">
        <v>884190</v>
      </c>
      <c r="K531">
        <v>706.49</v>
      </c>
      <c r="L531" t="s">
        <v>24</v>
      </c>
      <c r="M531" t="s">
        <v>1341</v>
      </c>
      <c r="N531" t="s">
        <v>68</v>
      </c>
      <c r="O531" s="7" t="s">
        <v>39</v>
      </c>
    </row>
    <row r="532" spans="1:15" x14ac:dyDescent="0.3">
      <c r="A532" t="s">
        <v>1195</v>
      </c>
      <c r="B532" t="s">
        <v>1196</v>
      </c>
      <c r="C532" t="s">
        <v>19</v>
      </c>
      <c r="D532" t="s">
        <v>211</v>
      </c>
      <c r="E532" t="s">
        <v>82</v>
      </c>
      <c r="F532" s="2">
        <v>2020</v>
      </c>
      <c r="G532" t="s">
        <v>1322</v>
      </c>
      <c r="H532">
        <v>114</v>
      </c>
      <c r="I532">
        <v>6.2</v>
      </c>
      <c r="J532">
        <v>862522</v>
      </c>
      <c r="K532">
        <v>29.02</v>
      </c>
      <c r="L532" t="s">
        <v>43</v>
      </c>
      <c r="M532" t="s">
        <v>1339</v>
      </c>
      <c r="N532" t="s">
        <v>123</v>
      </c>
      <c r="O532" s="6" t="s">
        <v>30</v>
      </c>
    </row>
    <row r="533" spans="1:15" x14ac:dyDescent="0.3">
      <c r="A533" t="s">
        <v>1197</v>
      </c>
      <c r="B533" t="s">
        <v>1198</v>
      </c>
      <c r="C533" t="s">
        <v>63</v>
      </c>
      <c r="D533" t="s">
        <v>87</v>
      </c>
      <c r="E533" t="s">
        <v>82</v>
      </c>
      <c r="F533" s="2">
        <v>2015</v>
      </c>
      <c r="G533" t="s">
        <v>1340</v>
      </c>
      <c r="H533">
        <v>111</v>
      </c>
      <c r="I533">
        <v>8</v>
      </c>
      <c r="J533">
        <v>543842</v>
      </c>
      <c r="K533">
        <v>731.41</v>
      </c>
      <c r="L533" t="s">
        <v>66</v>
      </c>
      <c r="M533" t="s">
        <v>1321</v>
      </c>
      <c r="N533" t="s">
        <v>152</v>
      </c>
      <c r="O533" s="7" t="s">
        <v>104</v>
      </c>
    </row>
    <row r="534" spans="1:15" x14ac:dyDescent="0.3">
      <c r="A534" t="s">
        <v>1199</v>
      </c>
      <c r="B534" t="s">
        <v>1200</v>
      </c>
      <c r="C534" t="s">
        <v>39</v>
      </c>
      <c r="D534" t="s">
        <v>72</v>
      </c>
      <c r="E534" t="s">
        <v>41</v>
      </c>
      <c r="F534" s="2">
        <v>2023</v>
      </c>
      <c r="G534" t="s">
        <v>1334</v>
      </c>
      <c r="H534">
        <v>163</v>
      </c>
      <c r="I534">
        <v>7.4</v>
      </c>
      <c r="J534">
        <v>83660</v>
      </c>
      <c r="K534">
        <v>278.39</v>
      </c>
      <c r="L534" t="s">
        <v>101</v>
      </c>
      <c r="M534" t="s">
        <v>1336</v>
      </c>
      <c r="N534" t="s">
        <v>60</v>
      </c>
      <c r="O534" s="6" t="s">
        <v>144</v>
      </c>
    </row>
    <row r="535" spans="1:15" x14ac:dyDescent="0.3">
      <c r="A535" t="s">
        <v>1201</v>
      </c>
      <c r="B535" t="s">
        <v>1202</v>
      </c>
      <c r="C535" t="s">
        <v>19</v>
      </c>
      <c r="D535" t="s">
        <v>64</v>
      </c>
      <c r="E535" t="s">
        <v>31</v>
      </c>
      <c r="F535" s="2">
        <v>2017</v>
      </c>
      <c r="G535" t="s">
        <v>1332</v>
      </c>
      <c r="H535">
        <v>190</v>
      </c>
      <c r="I535">
        <v>6.3</v>
      </c>
      <c r="J535">
        <v>676801</v>
      </c>
      <c r="K535">
        <v>107.96</v>
      </c>
      <c r="L535" t="s">
        <v>73</v>
      </c>
      <c r="M535" t="s">
        <v>1338</v>
      </c>
      <c r="N535" t="s">
        <v>123</v>
      </c>
      <c r="O535" s="7" t="s">
        <v>144</v>
      </c>
    </row>
    <row r="536" spans="1:15" x14ac:dyDescent="0.3">
      <c r="A536" t="s">
        <v>1203</v>
      </c>
      <c r="B536" t="s">
        <v>1204</v>
      </c>
      <c r="C536" t="s">
        <v>63</v>
      </c>
      <c r="D536" t="s">
        <v>87</v>
      </c>
      <c r="E536" t="s">
        <v>82</v>
      </c>
      <c r="F536" s="2">
        <v>2023</v>
      </c>
      <c r="G536" t="s">
        <v>1319</v>
      </c>
      <c r="H536">
        <v>153</v>
      </c>
      <c r="I536">
        <v>6.6</v>
      </c>
      <c r="J536">
        <v>398500</v>
      </c>
      <c r="K536">
        <v>506.88</v>
      </c>
      <c r="L536" t="s">
        <v>133</v>
      </c>
      <c r="M536" t="s">
        <v>1318</v>
      </c>
      <c r="N536" t="s">
        <v>123</v>
      </c>
      <c r="O536" s="6" t="s">
        <v>19</v>
      </c>
    </row>
    <row r="537" spans="1:15" x14ac:dyDescent="0.3">
      <c r="A537" t="s">
        <v>1205</v>
      </c>
      <c r="B537" t="s">
        <v>1206</v>
      </c>
      <c r="C537" t="s">
        <v>19</v>
      </c>
      <c r="D537" t="s">
        <v>87</v>
      </c>
      <c r="E537" t="s">
        <v>21</v>
      </c>
      <c r="F537" s="2">
        <v>2022</v>
      </c>
      <c r="G537" t="s">
        <v>1325</v>
      </c>
      <c r="H537">
        <v>109</v>
      </c>
      <c r="I537">
        <v>7.8</v>
      </c>
      <c r="J537">
        <v>402374</v>
      </c>
      <c r="K537">
        <v>359.29</v>
      </c>
      <c r="L537" t="s">
        <v>34</v>
      </c>
      <c r="M537" t="s">
        <v>1323</v>
      </c>
      <c r="N537" t="s">
        <v>27</v>
      </c>
      <c r="O537" s="7" t="s">
        <v>48</v>
      </c>
    </row>
    <row r="538" spans="1:15" x14ac:dyDescent="0.3">
      <c r="A538" t="s">
        <v>1207</v>
      </c>
      <c r="B538" t="s">
        <v>1208</v>
      </c>
      <c r="C538" t="s">
        <v>39</v>
      </c>
      <c r="D538" t="s">
        <v>20</v>
      </c>
      <c r="E538" t="s">
        <v>88</v>
      </c>
      <c r="F538" s="2">
        <v>2021</v>
      </c>
      <c r="G538" t="s">
        <v>1326</v>
      </c>
      <c r="H538">
        <v>91</v>
      </c>
      <c r="I538">
        <v>6.3</v>
      </c>
      <c r="J538">
        <v>703612</v>
      </c>
      <c r="K538">
        <v>41.52</v>
      </c>
      <c r="L538" t="s">
        <v>140</v>
      </c>
      <c r="M538" t="s">
        <v>1318</v>
      </c>
      <c r="N538" t="s">
        <v>68</v>
      </c>
      <c r="O538" s="6" t="s">
        <v>144</v>
      </c>
    </row>
    <row r="539" spans="1:15" x14ac:dyDescent="0.3">
      <c r="A539" t="s">
        <v>1209</v>
      </c>
      <c r="B539" t="s">
        <v>1210</v>
      </c>
      <c r="C539" t="s">
        <v>144</v>
      </c>
      <c r="D539" t="s">
        <v>40</v>
      </c>
      <c r="E539" t="s">
        <v>139</v>
      </c>
      <c r="F539" s="2">
        <v>2017</v>
      </c>
      <c r="G539" t="s">
        <v>1325</v>
      </c>
      <c r="H539">
        <v>93</v>
      </c>
      <c r="I539">
        <v>7.5</v>
      </c>
      <c r="J539">
        <v>436120</v>
      </c>
      <c r="K539">
        <v>143.21</v>
      </c>
      <c r="L539" t="s">
        <v>89</v>
      </c>
      <c r="M539" t="s">
        <v>1337</v>
      </c>
      <c r="N539" t="s">
        <v>152</v>
      </c>
      <c r="O539" s="7" t="s">
        <v>39</v>
      </c>
    </row>
    <row r="540" spans="1:15" x14ac:dyDescent="0.3">
      <c r="A540" t="s">
        <v>1211</v>
      </c>
      <c r="B540" t="s">
        <v>1212</v>
      </c>
      <c r="C540" t="s">
        <v>104</v>
      </c>
      <c r="D540" t="s">
        <v>20</v>
      </c>
      <c r="E540" t="s">
        <v>88</v>
      </c>
      <c r="F540" s="2">
        <v>2016</v>
      </c>
      <c r="G540" t="s">
        <v>1340</v>
      </c>
      <c r="H540">
        <v>153</v>
      </c>
      <c r="I540">
        <v>7.2</v>
      </c>
      <c r="J540">
        <v>357499</v>
      </c>
      <c r="K540">
        <v>110.13</v>
      </c>
      <c r="L540" t="s">
        <v>73</v>
      </c>
      <c r="M540" t="s">
        <v>1318</v>
      </c>
      <c r="N540" t="s">
        <v>68</v>
      </c>
      <c r="O540" s="6" t="s">
        <v>19</v>
      </c>
    </row>
    <row r="541" spans="1:15" x14ac:dyDescent="0.3">
      <c r="A541" t="s">
        <v>1213</v>
      </c>
      <c r="B541" t="s">
        <v>1214</v>
      </c>
      <c r="C541" t="s">
        <v>19</v>
      </c>
      <c r="D541" t="s">
        <v>20</v>
      </c>
      <c r="E541" t="s">
        <v>139</v>
      </c>
      <c r="F541" s="2">
        <v>2018</v>
      </c>
      <c r="G541" t="s">
        <v>1316</v>
      </c>
      <c r="H541">
        <v>174</v>
      </c>
      <c r="I541">
        <v>7</v>
      </c>
      <c r="J541">
        <v>403430</v>
      </c>
      <c r="K541">
        <v>303.39</v>
      </c>
      <c r="L541" t="s">
        <v>66</v>
      </c>
      <c r="M541" t="s">
        <v>1342</v>
      </c>
      <c r="N541" t="s">
        <v>36</v>
      </c>
      <c r="O541" s="7" t="s">
        <v>39</v>
      </c>
    </row>
    <row r="542" spans="1:15" x14ac:dyDescent="0.3">
      <c r="A542" t="s">
        <v>1215</v>
      </c>
      <c r="B542" t="s">
        <v>1216</v>
      </c>
      <c r="C542" t="s">
        <v>19</v>
      </c>
      <c r="D542" t="s">
        <v>87</v>
      </c>
      <c r="E542" t="s">
        <v>82</v>
      </c>
      <c r="F542" s="2">
        <v>2025</v>
      </c>
      <c r="G542" t="s">
        <v>1326</v>
      </c>
      <c r="H542">
        <v>186</v>
      </c>
      <c r="I542">
        <v>8.1999999999999993</v>
      </c>
      <c r="J542">
        <v>379852</v>
      </c>
      <c r="K542">
        <v>206.75</v>
      </c>
      <c r="L542" t="s">
        <v>52</v>
      </c>
      <c r="M542" t="s">
        <v>1330</v>
      </c>
      <c r="N542" t="s">
        <v>68</v>
      </c>
      <c r="O542" s="6" t="s">
        <v>19</v>
      </c>
    </row>
    <row r="543" spans="1:15" x14ac:dyDescent="0.3">
      <c r="A543" t="s">
        <v>1217</v>
      </c>
      <c r="B543" t="s">
        <v>1218</v>
      </c>
      <c r="C543" t="s">
        <v>39</v>
      </c>
      <c r="D543" t="s">
        <v>72</v>
      </c>
      <c r="E543" t="s">
        <v>41</v>
      </c>
      <c r="F543" s="2">
        <v>2025</v>
      </c>
      <c r="G543" t="s">
        <v>1332</v>
      </c>
      <c r="H543">
        <v>171</v>
      </c>
      <c r="I543">
        <v>6.8</v>
      </c>
      <c r="J543">
        <v>433259</v>
      </c>
      <c r="K543">
        <v>1018.07</v>
      </c>
      <c r="L543" t="s">
        <v>24</v>
      </c>
      <c r="M543" t="s">
        <v>1318</v>
      </c>
      <c r="N543" t="s">
        <v>54</v>
      </c>
      <c r="O543" s="7" t="s">
        <v>63</v>
      </c>
    </row>
    <row r="544" spans="1:15" x14ac:dyDescent="0.3">
      <c r="A544" t="s">
        <v>1219</v>
      </c>
      <c r="B544" t="s">
        <v>1220</v>
      </c>
      <c r="C544" t="s">
        <v>130</v>
      </c>
      <c r="D544" t="s">
        <v>20</v>
      </c>
      <c r="E544" t="s">
        <v>41</v>
      </c>
      <c r="F544" s="2">
        <v>2019</v>
      </c>
      <c r="G544" t="s">
        <v>1334</v>
      </c>
      <c r="H544">
        <v>164</v>
      </c>
      <c r="I544">
        <v>5.7</v>
      </c>
      <c r="J544">
        <v>704669</v>
      </c>
      <c r="K544">
        <v>684.74</v>
      </c>
      <c r="L544" t="s">
        <v>83</v>
      </c>
      <c r="M544" t="s">
        <v>1333</v>
      </c>
      <c r="N544" t="s">
        <v>36</v>
      </c>
      <c r="O544" s="6" t="s">
        <v>86</v>
      </c>
    </row>
    <row r="545" spans="1:15" x14ac:dyDescent="0.3">
      <c r="A545" t="s">
        <v>1221</v>
      </c>
      <c r="B545" t="s">
        <v>1222</v>
      </c>
      <c r="C545" t="s">
        <v>39</v>
      </c>
      <c r="D545" t="s">
        <v>20</v>
      </c>
      <c r="E545" t="s">
        <v>88</v>
      </c>
      <c r="F545" s="2">
        <v>2023</v>
      </c>
      <c r="G545" t="s">
        <v>1334</v>
      </c>
      <c r="H545">
        <v>159</v>
      </c>
      <c r="I545">
        <v>8.3000000000000007</v>
      </c>
      <c r="J545">
        <v>721868</v>
      </c>
      <c r="K545">
        <v>547.79</v>
      </c>
      <c r="L545" t="s">
        <v>89</v>
      </c>
      <c r="M545" t="s">
        <v>1328</v>
      </c>
      <c r="N545" t="s">
        <v>54</v>
      </c>
      <c r="O545" s="7" t="s">
        <v>86</v>
      </c>
    </row>
    <row r="546" spans="1:15" x14ac:dyDescent="0.3">
      <c r="A546" t="s">
        <v>1223</v>
      </c>
      <c r="B546" t="s">
        <v>1224</v>
      </c>
      <c r="C546" t="s">
        <v>39</v>
      </c>
      <c r="D546" t="s">
        <v>81</v>
      </c>
      <c r="E546" t="s">
        <v>31</v>
      </c>
      <c r="F546" s="2">
        <v>2019</v>
      </c>
      <c r="G546" t="s">
        <v>1322</v>
      </c>
      <c r="H546">
        <v>115</v>
      </c>
      <c r="I546">
        <v>7.3</v>
      </c>
      <c r="J546">
        <v>453486</v>
      </c>
      <c r="K546">
        <v>606.24</v>
      </c>
      <c r="L546" t="s">
        <v>24</v>
      </c>
      <c r="M546" t="s">
        <v>1341</v>
      </c>
      <c r="N546" t="s">
        <v>27</v>
      </c>
      <c r="O546" s="6" t="s">
        <v>63</v>
      </c>
    </row>
    <row r="547" spans="1:15" x14ac:dyDescent="0.3">
      <c r="A547" t="s">
        <v>1225</v>
      </c>
      <c r="B547" t="s">
        <v>1226</v>
      </c>
      <c r="C547" t="s">
        <v>39</v>
      </c>
      <c r="D547" t="s">
        <v>40</v>
      </c>
      <c r="E547" t="s">
        <v>208</v>
      </c>
      <c r="F547" s="2">
        <v>2023</v>
      </c>
      <c r="G547" t="s">
        <v>1329</v>
      </c>
      <c r="H547">
        <v>190</v>
      </c>
      <c r="I547">
        <v>7.6</v>
      </c>
      <c r="J547">
        <v>3489</v>
      </c>
      <c r="K547">
        <v>202.02</v>
      </c>
      <c r="L547" t="s">
        <v>119</v>
      </c>
      <c r="M547" t="s">
        <v>1330</v>
      </c>
      <c r="N547" t="s">
        <v>60</v>
      </c>
      <c r="O547" s="7" t="s">
        <v>19</v>
      </c>
    </row>
    <row r="548" spans="1:15" x14ac:dyDescent="0.3">
      <c r="A548" t="s">
        <v>1227</v>
      </c>
      <c r="B548" t="s">
        <v>1228</v>
      </c>
      <c r="C548" t="s">
        <v>39</v>
      </c>
      <c r="D548" t="s">
        <v>64</v>
      </c>
      <c r="E548" t="s">
        <v>82</v>
      </c>
      <c r="F548" s="2">
        <v>2016</v>
      </c>
      <c r="G548" t="s">
        <v>1331</v>
      </c>
      <c r="H548">
        <v>179</v>
      </c>
      <c r="I548">
        <v>7.2</v>
      </c>
      <c r="J548">
        <v>370212</v>
      </c>
      <c r="K548">
        <v>858.88</v>
      </c>
      <c r="L548" t="s">
        <v>119</v>
      </c>
      <c r="M548" t="s">
        <v>1321</v>
      </c>
      <c r="N548" t="s">
        <v>123</v>
      </c>
      <c r="O548" s="6" t="s">
        <v>19</v>
      </c>
    </row>
    <row r="549" spans="1:15" x14ac:dyDescent="0.3">
      <c r="A549" t="s">
        <v>1229</v>
      </c>
      <c r="B549" t="s">
        <v>1230</v>
      </c>
      <c r="C549" t="s">
        <v>19</v>
      </c>
      <c r="D549" t="s">
        <v>20</v>
      </c>
      <c r="E549" t="s">
        <v>31</v>
      </c>
      <c r="F549" s="2">
        <v>2024</v>
      </c>
      <c r="G549" t="s">
        <v>1316</v>
      </c>
      <c r="H549">
        <v>111</v>
      </c>
      <c r="I549">
        <v>6.8</v>
      </c>
      <c r="J549">
        <v>338037</v>
      </c>
      <c r="K549">
        <v>651.09</v>
      </c>
      <c r="L549" t="s">
        <v>140</v>
      </c>
      <c r="M549" t="s">
        <v>1318</v>
      </c>
      <c r="N549" t="s">
        <v>60</v>
      </c>
      <c r="O549" s="7" t="s">
        <v>63</v>
      </c>
    </row>
    <row r="550" spans="1:15" x14ac:dyDescent="0.3">
      <c r="A550" t="s">
        <v>1231</v>
      </c>
      <c r="B550" t="s">
        <v>1232</v>
      </c>
      <c r="C550" t="s">
        <v>116</v>
      </c>
      <c r="D550" t="s">
        <v>20</v>
      </c>
      <c r="E550" t="s">
        <v>41</v>
      </c>
      <c r="F550" s="2">
        <v>2024</v>
      </c>
      <c r="G550" t="s">
        <v>1316</v>
      </c>
      <c r="H550">
        <v>140</v>
      </c>
      <c r="I550">
        <v>5.6</v>
      </c>
      <c r="J550">
        <v>193155</v>
      </c>
      <c r="K550">
        <v>252.35</v>
      </c>
      <c r="L550" t="s">
        <v>179</v>
      </c>
      <c r="M550" t="s">
        <v>1333</v>
      </c>
      <c r="N550" t="s">
        <v>123</v>
      </c>
      <c r="O550" s="6" t="s">
        <v>39</v>
      </c>
    </row>
    <row r="551" spans="1:15" x14ac:dyDescent="0.3">
      <c r="A551" t="s">
        <v>1233</v>
      </c>
      <c r="B551" t="s">
        <v>1234</v>
      </c>
      <c r="C551" t="s">
        <v>30</v>
      </c>
      <c r="D551" t="s">
        <v>20</v>
      </c>
      <c r="E551" t="s">
        <v>41</v>
      </c>
      <c r="F551" s="2">
        <v>2019</v>
      </c>
      <c r="G551" t="s">
        <v>1316</v>
      </c>
      <c r="H551">
        <v>164</v>
      </c>
      <c r="I551">
        <v>8.1</v>
      </c>
      <c r="J551">
        <v>133781</v>
      </c>
      <c r="K551">
        <v>828.63</v>
      </c>
      <c r="L551" t="s">
        <v>140</v>
      </c>
      <c r="M551" t="s">
        <v>1330</v>
      </c>
      <c r="N551" t="s">
        <v>54</v>
      </c>
      <c r="O551" s="7" t="s">
        <v>19</v>
      </c>
    </row>
    <row r="552" spans="1:15" x14ac:dyDescent="0.3">
      <c r="A552" t="s">
        <v>1235</v>
      </c>
      <c r="B552" t="s">
        <v>1236</v>
      </c>
      <c r="C552" t="s">
        <v>39</v>
      </c>
      <c r="D552" t="s">
        <v>20</v>
      </c>
      <c r="E552" t="s">
        <v>88</v>
      </c>
      <c r="F552" s="2">
        <v>2015</v>
      </c>
      <c r="G552" t="s">
        <v>1340</v>
      </c>
      <c r="H552">
        <v>163</v>
      </c>
      <c r="I552">
        <v>7.6</v>
      </c>
      <c r="J552">
        <v>829078</v>
      </c>
      <c r="K552">
        <v>460.74</v>
      </c>
      <c r="L552" t="s">
        <v>101</v>
      </c>
      <c r="M552" t="s">
        <v>1337</v>
      </c>
      <c r="N552" t="s">
        <v>60</v>
      </c>
      <c r="O552" s="6" t="s">
        <v>63</v>
      </c>
    </row>
    <row r="553" spans="1:15" x14ac:dyDescent="0.3">
      <c r="A553" t="s">
        <v>1237</v>
      </c>
      <c r="B553" t="s">
        <v>1238</v>
      </c>
      <c r="C553" t="s">
        <v>39</v>
      </c>
      <c r="D553" t="s">
        <v>20</v>
      </c>
      <c r="E553" t="s">
        <v>49</v>
      </c>
      <c r="F553" s="2">
        <v>2024</v>
      </c>
      <c r="G553" t="s">
        <v>1316</v>
      </c>
      <c r="H553">
        <v>165</v>
      </c>
      <c r="I553">
        <v>6.9</v>
      </c>
      <c r="J553">
        <v>760046</v>
      </c>
      <c r="K553">
        <v>1219.3900000000001</v>
      </c>
      <c r="L553" t="s">
        <v>109</v>
      </c>
      <c r="M553" t="s">
        <v>1336</v>
      </c>
      <c r="N553" t="s">
        <v>60</v>
      </c>
      <c r="O553" s="7" t="s">
        <v>19</v>
      </c>
    </row>
    <row r="554" spans="1:15" x14ac:dyDescent="0.3">
      <c r="A554" t="s">
        <v>1239</v>
      </c>
      <c r="B554" t="s">
        <v>1240</v>
      </c>
      <c r="C554" t="s">
        <v>144</v>
      </c>
      <c r="D554" t="s">
        <v>20</v>
      </c>
      <c r="E554" t="s">
        <v>88</v>
      </c>
      <c r="F554" s="2">
        <v>2019</v>
      </c>
      <c r="G554" t="s">
        <v>1316</v>
      </c>
      <c r="H554">
        <v>106</v>
      </c>
      <c r="I554">
        <v>7.3</v>
      </c>
      <c r="J554">
        <v>516153</v>
      </c>
      <c r="K554">
        <v>314.83999999999997</v>
      </c>
      <c r="L554" t="s">
        <v>89</v>
      </c>
      <c r="M554" t="s">
        <v>1342</v>
      </c>
      <c r="N554" t="s">
        <v>123</v>
      </c>
      <c r="O554" s="6" t="s">
        <v>39</v>
      </c>
    </row>
    <row r="555" spans="1:15" x14ac:dyDescent="0.3">
      <c r="A555" t="s">
        <v>1241</v>
      </c>
      <c r="B555" t="s">
        <v>1242</v>
      </c>
      <c r="C555" t="s">
        <v>144</v>
      </c>
      <c r="D555" t="s">
        <v>20</v>
      </c>
      <c r="E555" t="s">
        <v>88</v>
      </c>
      <c r="F555" s="2">
        <v>2023</v>
      </c>
      <c r="G555" t="s">
        <v>1316</v>
      </c>
      <c r="H555">
        <v>178</v>
      </c>
      <c r="I555">
        <v>9.1</v>
      </c>
      <c r="J555">
        <v>567162</v>
      </c>
      <c r="K555">
        <v>182.1</v>
      </c>
      <c r="L555" t="s">
        <v>43</v>
      </c>
      <c r="M555" t="s">
        <v>1320</v>
      </c>
      <c r="N555" t="s">
        <v>60</v>
      </c>
      <c r="O555" s="7" t="s">
        <v>144</v>
      </c>
    </row>
    <row r="556" spans="1:15" x14ac:dyDescent="0.3">
      <c r="A556" t="s">
        <v>1243</v>
      </c>
      <c r="B556" t="s">
        <v>1244</v>
      </c>
      <c r="C556" t="s">
        <v>48</v>
      </c>
      <c r="D556" t="s">
        <v>40</v>
      </c>
      <c r="E556" t="s">
        <v>41</v>
      </c>
      <c r="F556" s="2">
        <v>2024</v>
      </c>
      <c r="G556" t="s">
        <v>1329</v>
      </c>
      <c r="H556">
        <v>147</v>
      </c>
      <c r="I556">
        <v>6.6</v>
      </c>
      <c r="J556">
        <v>192555</v>
      </c>
      <c r="K556">
        <v>1707.46</v>
      </c>
      <c r="L556" t="s">
        <v>109</v>
      </c>
      <c r="M556" t="s">
        <v>1337</v>
      </c>
      <c r="N556" t="s">
        <v>36</v>
      </c>
      <c r="O556" s="6" t="s">
        <v>104</v>
      </c>
    </row>
    <row r="557" spans="1:15" x14ac:dyDescent="0.3">
      <c r="A557" t="s">
        <v>1245</v>
      </c>
      <c r="B557" t="s">
        <v>1246</v>
      </c>
      <c r="C557" t="s">
        <v>144</v>
      </c>
      <c r="D557" t="s">
        <v>20</v>
      </c>
      <c r="E557" t="s">
        <v>88</v>
      </c>
      <c r="F557" s="2">
        <v>2022</v>
      </c>
      <c r="G557" t="s">
        <v>1326</v>
      </c>
      <c r="H557">
        <v>162</v>
      </c>
      <c r="I557">
        <v>6.5</v>
      </c>
      <c r="J557">
        <v>937316</v>
      </c>
      <c r="K557">
        <v>389.21</v>
      </c>
      <c r="L557" t="s">
        <v>133</v>
      </c>
      <c r="M557" t="s">
        <v>1341</v>
      </c>
      <c r="N557" t="s">
        <v>123</v>
      </c>
      <c r="O557" s="7" t="s">
        <v>19</v>
      </c>
    </row>
    <row r="558" spans="1:15" x14ac:dyDescent="0.3">
      <c r="A558" t="s">
        <v>1247</v>
      </c>
      <c r="B558" t="s">
        <v>1248</v>
      </c>
      <c r="C558" t="s">
        <v>39</v>
      </c>
      <c r="D558" t="s">
        <v>20</v>
      </c>
      <c r="E558" t="s">
        <v>88</v>
      </c>
      <c r="F558" s="2">
        <v>2022</v>
      </c>
      <c r="G558" t="s">
        <v>1314</v>
      </c>
      <c r="H558">
        <v>148</v>
      </c>
      <c r="I558">
        <v>7.1</v>
      </c>
      <c r="J558">
        <v>926381</v>
      </c>
      <c r="K558">
        <v>280.23</v>
      </c>
      <c r="L558" t="s">
        <v>89</v>
      </c>
      <c r="M558" t="s">
        <v>1315</v>
      </c>
      <c r="N558" t="s">
        <v>152</v>
      </c>
      <c r="O558" s="6" t="s">
        <v>19</v>
      </c>
    </row>
    <row r="559" spans="1:15" x14ac:dyDescent="0.3">
      <c r="A559" t="s">
        <v>1249</v>
      </c>
      <c r="B559" t="s">
        <v>1250</v>
      </c>
      <c r="C559" t="s">
        <v>19</v>
      </c>
      <c r="D559" t="s">
        <v>87</v>
      </c>
      <c r="E559" t="s">
        <v>41</v>
      </c>
      <c r="F559" s="2">
        <v>2015</v>
      </c>
      <c r="G559" t="s">
        <v>1326</v>
      </c>
      <c r="H559">
        <v>118</v>
      </c>
      <c r="I559">
        <v>6.9</v>
      </c>
      <c r="J559">
        <v>668282</v>
      </c>
      <c r="K559">
        <v>617.47</v>
      </c>
      <c r="L559" t="s">
        <v>109</v>
      </c>
      <c r="M559" t="s">
        <v>1333</v>
      </c>
      <c r="N559" t="s">
        <v>123</v>
      </c>
      <c r="O559" s="7" t="s">
        <v>39</v>
      </c>
    </row>
    <row r="560" spans="1:15" x14ac:dyDescent="0.3">
      <c r="A560" t="s">
        <v>1251</v>
      </c>
      <c r="B560" t="s">
        <v>1252</v>
      </c>
      <c r="C560" t="s">
        <v>144</v>
      </c>
      <c r="D560" t="s">
        <v>215</v>
      </c>
      <c r="E560" t="s">
        <v>88</v>
      </c>
      <c r="F560" s="2">
        <v>2020</v>
      </c>
      <c r="G560" t="s">
        <v>1326</v>
      </c>
      <c r="H560">
        <v>143</v>
      </c>
      <c r="I560">
        <v>6.5</v>
      </c>
      <c r="J560">
        <v>559824</v>
      </c>
      <c r="K560">
        <v>275.8</v>
      </c>
      <c r="L560" t="s">
        <v>83</v>
      </c>
      <c r="M560" t="s">
        <v>1323</v>
      </c>
      <c r="N560" t="s">
        <v>36</v>
      </c>
      <c r="O560" s="6" t="s">
        <v>130</v>
      </c>
    </row>
    <row r="561" spans="1:15" x14ac:dyDescent="0.3">
      <c r="A561" t="s">
        <v>1253</v>
      </c>
      <c r="B561" t="s">
        <v>1254</v>
      </c>
      <c r="C561" t="s">
        <v>63</v>
      </c>
      <c r="D561" t="s">
        <v>20</v>
      </c>
      <c r="E561" t="s">
        <v>31</v>
      </c>
      <c r="F561" s="2">
        <v>2020</v>
      </c>
      <c r="G561" t="s">
        <v>1316</v>
      </c>
      <c r="H561">
        <v>185</v>
      </c>
      <c r="I561">
        <v>6.8</v>
      </c>
      <c r="J561">
        <v>537065</v>
      </c>
      <c r="K561">
        <v>209.44</v>
      </c>
      <c r="L561" t="s">
        <v>140</v>
      </c>
      <c r="M561" t="s">
        <v>1320</v>
      </c>
      <c r="N561" t="s">
        <v>152</v>
      </c>
      <c r="O561" s="7" t="s">
        <v>39</v>
      </c>
    </row>
    <row r="562" spans="1:15" x14ac:dyDescent="0.3">
      <c r="A562" t="s">
        <v>1255</v>
      </c>
      <c r="B562" t="s">
        <v>1256</v>
      </c>
      <c r="C562" t="s">
        <v>63</v>
      </c>
      <c r="D562" t="s">
        <v>57</v>
      </c>
      <c r="E562" t="s">
        <v>208</v>
      </c>
      <c r="F562" s="2">
        <v>2024</v>
      </c>
      <c r="G562" t="s">
        <v>1325</v>
      </c>
      <c r="H562">
        <v>190</v>
      </c>
      <c r="I562">
        <v>7.5</v>
      </c>
      <c r="J562">
        <v>295887</v>
      </c>
      <c r="K562">
        <v>382.65</v>
      </c>
      <c r="L562" t="s">
        <v>66</v>
      </c>
      <c r="M562" t="s">
        <v>1333</v>
      </c>
      <c r="N562" t="s">
        <v>36</v>
      </c>
      <c r="O562" s="6" t="s">
        <v>39</v>
      </c>
    </row>
    <row r="563" spans="1:15" x14ac:dyDescent="0.3">
      <c r="A563" t="s">
        <v>1257</v>
      </c>
      <c r="B563" t="s">
        <v>1258</v>
      </c>
      <c r="C563" t="s">
        <v>19</v>
      </c>
      <c r="D563" t="s">
        <v>211</v>
      </c>
      <c r="E563" t="s">
        <v>49</v>
      </c>
      <c r="F563" s="2">
        <v>2017</v>
      </c>
      <c r="G563" t="s">
        <v>1327</v>
      </c>
      <c r="H563">
        <v>181</v>
      </c>
      <c r="I563">
        <v>6.7</v>
      </c>
      <c r="J563">
        <v>516330</v>
      </c>
      <c r="K563">
        <v>245.95</v>
      </c>
      <c r="L563" t="s">
        <v>73</v>
      </c>
      <c r="M563" t="s">
        <v>1328</v>
      </c>
      <c r="N563" t="s">
        <v>60</v>
      </c>
      <c r="O563" s="7" t="s">
        <v>39</v>
      </c>
    </row>
    <row r="564" spans="1:15" x14ac:dyDescent="0.3">
      <c r="A564" t="s">
        <v>1259</v>
      </c>
      <c r="B564" t="s">
        <v>1260</v>
      </c>
      <c r="C564" t="s">
        <v>116</v>
      </c>
      <c r="D564" t="s">
        <v>20</v>
      </c>
      <c r="E564" t="s">
        <v>88</v>
      </c>
      <c r="F564" s="2">
        <v>2017</v>
      </c>
      <c r="G564" t="s">
        <v>1332</v>
      </c>
      <c r="H564">
        <v>188</v>
      </c>
      <c r="I564">
        <v>7.3</v>
      </c>
      <c r="J564">
        <v>82975</v>
      </c>
      <c r="K564">
        <v>918.47</v>
      </c>
      <c r="L564" t="s">
        <v>119</v>
      </c>
      <c r="M564" t="s">
        <v>1318</v>
      </c>
      <c r="N564" t="s">
        <v>123</v>
      </c>
      <c r="O564" s="6" t="s">
        <v>39</v>
      </c>
    </row>
    <row r="565" spans="1:15" x14ac:dyDescent="0.3">
      <c r="A565" t="s">
        <v>1261</v>
      </c>
      <c r="B565" t="s">
        <v>1262</v>
      </c>
      <c r="C565" t="s">
        <v>144</v>
      </c>
      <c r="D565" t="s">
        <v>40</v>
      </c>
      <c r="E565" t="s">
        <v>41</v>
      </c>
      <c r="F565" s="2">
        <v>2022</v>
      </c>
      <c r="G565" t="s">
        <v>1340</v>
      </c>
      <c r="H565">
        <v>98</v>
      </c>
      <c r="I565">
        <v>7.7</v>
      </c>
      <c r="J565">
        <v>190433</v>
      </c>
      <c r="K565">
        <v>1541.46</v>
      </c>
      <c r="L565" t="s">
        <v>179</v>
      </c>
      <c r="M565" t="s">
        <v>1328</v>
      </c>
      <c r="N565" t="s">
        <v>27</v>
      </c>
      <c r="O565" s="7" t="s">
        <v>39</v>
      </c>
    </row>
    <row r="566" spans="1:15" x14ac:dyDescent="0.3">
      <c r="A566" t="s">
        <v>1263</v>
      </c>
      <c r="B566" t="s">
        <v>1264</v>
      </c>
      <c r="C566" t="s">
        <v>86</v>
      </c>
      <c r="D566" t="s">
        <v>171</v>
      </c>
      <c r="E566" t="s">
        <v>41</v>
      </c>
      <c r="F566" s="2">
        <v>2020</v>
      </c>
      <c r="G566" t="s">
        <v>1326</v>
      </c>
      <c r="H566">
        <v>118</v>
      </c>
      <c r="I566">
        <v>7.2</v>
      </c>
      <c r="J566">
        <v>299716</v>
      </c>
      <c r="K566">
        <v>9.98</v>
      </c>
      <c r="L566" t="s">
        <v>119</v>
      </c>
      <c r="M566" t="s">
        <v>1337</v>
      </c>
      <c r="N566" t="s">
        <v>123</v>
      </c>
      <c r="O566" s="6" t="s">
        <v>19</v>
      </c>
    </row>
    <row r="567" spans="1:15" x14ac:dyDescent="0.3">
      <c r="A567" t="s">
        <v>1265</v>
      </c>
      <c r="B567" t="s">
        <v>1266</v>
      </c>
      <c r="C567" t="s">
        <v>19</v>
      </c>
      <c r="D567" t="s">
        <v>20</v>
      </c>
      <c r="E567" t="s">
        <v>41</v>
      </c>
      <c r="F567" s="2">
        <v>2022</v>
      </c>
      <c r="G567" t="s">
        <v>1316</v>
      </c>
      <c r="H567">
        <v>127</v>
      </c>
      <c r="I567">
        <v>7.6</v>
      </c>
      <c r="J567">
        <v>40526</v>
      </c>
      <c r="K567">
        <v>27.59</v>
      </c>
      <c r="L567" t="s">
        <v>101</v>
      </c>
      <c r="M567" t="s">
        <v>1338</v>
      </c>
      <c r="N567" t="s">
        <v>68</v>
      </c>
      <c r="O567" s="7" t="s">
        <v>116</v>
      </c>
    </row>
    <row r="568" spans="1:15" x14ac:dyDescent="0.3">
      <c r="A568" t="s">
        <v>1267</v>
      </c>
      <c r="B568" t="s">
        <v>1268</v>
      </c>
      <c r="C568" t="s">
        <v>86</v>
      </c>
      <c r="D568" t="s">
        <v>20</v>
      </c>
      <c r="E568" t="s">
        <v>31</v>
      </c>
      <c r="F568" s="2">
        <v>2020</v>
      </c>
      <c r="G568" t="s">
        <v>1326</v>
      </c>
      <c r="H568">
        <v>185</v>
      </c>
      <c r="I568">
        <v>7.2</v>
      </c>
      <c r="J568">
        <v>900904</v>
      </c>
      <c r="K568">
        <v>1824.74</v>
      </c>
      <c r="L568" t="s">
        <v>52</v>
      </c>
      <c r="M568" t="s">
        <v>1333</v>
      </c>
      <c r="N568" t="s">
        <v>123</v>
      </c>
      <c r="O568" s="6" t="s">
        <v>30</v>
      </c>
    </row>
    <row r="569" spans="1:15" x14ac:dyDescent="0.3">
      <c r="A569" t="s">
        <v>1269</v>
      </c>
      <c r="B569" t="s">
        <v>1270</v>
      </c>
      <c r="C569" t="s">
        <v>130</v>
      </c>
      <c r="D569" t="s">
        <v>20</v>
      </c>
      <c r="E569" t="s">
        <v>31</v>
      </c>
      <c r="F569" s="2">
        <v>2025</v>
      </c>
      <c r="G569" t="s">
        <v>1325</v>
      </c>
      <c r="H569">
        <v>143</v>
      </c>
      <c r="I569">
        <v>8.1999999999999993</v>
      </c>
      <c r="J569">
        <v>626310</v>
      </c>
      <c r="K569">
        <v>347.38</v>
      </c>
      <c r="L569" t="s">
        <v>133</v>
      </c>
      <c r="M569" t="s">
        <v>1342</v>
      </c>
      <c r="N569" t="s">
        <v>36</v>
      </c>
      <c r="O569" s="7" t="s">
        <v>39</v>
      </c>
    </row>
    <row r="570" spans="1:15" x14ac:dyDescent="0.3">
      <c r="A570" t="s">
        <v>1271</v>
      </c>
      <c r="B570" t="s">
        <v>1272</v>
      </c>
      <c r="C570" t="s">
        <v>19</v>
      </c>
      <c r="D570" t="s">
        <v>20</v>
      </c>
      <c r="E570" t="s">
        <v>208</v>
      </c>
      <c r="F570" s="2">
        <v>2025</v>
      </c>
      <c r="G570" t="s">
        <v>1329</v>
      </c>
      <c r="H570">
        <v>181</v>
      </c>
      <c r="I570">
        <v>7</v>
      </c>
      <c r="J570">
        <v>695247</v>
      </c>
      <c r="K570">
        <v>759.23</v>
      </c>
      <c r="L570" t="s">
        <v>83</v>
      </c>
      <c r="M570" t="s">
        <v>1336</v>
      </c>
      <c r="N570" t="s">
        <v>123</v>
      </c>
      <c r="O570" s="6" t="s">
        <v>39</v>
      </c>
    </row>
    <row r="571" spans="1:15" x14ac:dyDescent="0.3">
      <c r="A571" t="s">
        <v>1273</v>
      </c>
      <c r="B571" t="s">
        <v>1274</v>
      </c>
      <c r="C571" t="s">
        <v>39</v>
      </c>
      <c r="D571" t="s">
        <v>20</v>
      </c>
      <c r="E571" t="s">
        <v>41</v>
      </c>
      <c r="F571" s="2">
        <v>2020</v>
      </c>
      <c r="G571" t="s">
        <v>1334</v>
      </c>
      <c r="H571">
        <v>154</v>
      </c>
      <c r="I571">
        <v>8.5</v>
      </c>
      <c r="J571">
        <v>452113</v>
      </c>
      <c r="K571">
        <v>352.04</v>
      </c>
      <c r="L571" t="s">
        <v>34</v>
      </c>
      <c r="M571" t="s">
        <v>1341</v>
      </c>
      <c r="N571" t="s">
        <v>27</v>
      </c>
      <c r="O571" s="7" t="s">
        <v>144</v>
      </c>
    </row>
    <row r="572" spans="1:15" x14ac:dyDescent="0.3">
      <c r="A572" t="s">
        <v>1275</v>
      </c>
      <c r="B572" t="s">
        <v>1276</v>
      </c>
      <c r="C572" t="s">
        <v>86</v>
      </c>
      <c r="D572" t="s">
        <v>40</v>
      </c>
      <c r="E572" t="s">
        <v>41</v>
      </c>
      <c r="F572" s="2">
        <v>2019</v>
      </c>
      <c r="G572" t="s">
        <v>1322</v>
      </c>
      <c r="H572">
        <v>175</v>
      </c>
      <c r="I572">
        <v>6.6</v>
      </c>
      <c r="J572">
        <v>57974</v>
      </c>
      <c r="K572">
        <v>761.96</v>
      </c>
      <c r="L572" t="s">
        <v>145</v>
      </c>
      <c r="M572" t="s">
        <v>1323</v>
      </c>
      <c r="N572" t="s">
        <v>68</v>
      </c>
      <c r="O572" s="6" t="s">
        <v>144</v>
      </c>
    </row>
    <row r="573" spans="1:15" x14ac:dyDescent="0.3">
      <c r="A573" t="s">
        <v>1277</v>
      </c>
      <c r="B573" t="s">
        <v>1278</v>
      </c>
      <c r="C573" t="s">
        <v>86</v>
      </c>
      <c r="D573" t="s">
        <v>81</v>
      </c>
      <c r="E573" t="s">
        <v>82</v>
      </c>
      <c r="F573" s="2">
        <v>2024</v>
      </c>
      <c r="G573" t="s">
        <v>1331</v>
      </c>
      <c r="H573">
        <v>145</v>
      </c>
      <c r="I573">
        <v>7.1</v>
      </c>
      <c r="J573">
        <v>475314</v>
      </c>
      <c r="K573">
        <v>178.27</v>
      </c>
      <c r="L573" t="s">
        <v>73</v>
      </c>
      <c r="M573" t="s">
        <v>1336</v>
      </c>
      <c r="N573" t="s">
        <v>68</v>
      </c>
      <c r="O573" s="7" t="s">
        <v>48</v>
      </c>
    </row>
    <row r="574" spans="1:15" x14ac:dyDescent="0.3">
      <c r="A574" t="s">
        <v>1279</v>
      </c>
      <c r="B574" t="s">
        <v>1280</v>
      </c>
      <c r="C574" t="s">
        <v>30</v>
      </c>
      <c r="D574" t="s">
        <v>20</v>
      </c>
      <c r="E574" t="s">
        <v>88</v>
      </c>
      <c r="F574" s="2">
        <v>2018</v>
      </c>
      <c r="G574" t="s">
        <v>1332</v>
      </c>
      <c r="H574">
        <v>167</v>
      </c>
      <c r="I574">
        <v>7.1</v>
      </c>
      <c r="J574">
        <v>722211</v>
      </c>
      <c r="K574">
        <v>51.85</v>
      </c>
      <c r="L574" t="s">
        <v>133</v>
      </c>
      <c r="M574" t="s">
        <v>1317</v>
      </c>
      <c r="N574" t="s">
        <v>54</v>
      </c>
      <c r="O574" s="6" t="s">
        <v>144</v>
      </c>
    </row>
    <row r="575" spans="1:15" x14ac:dyDescent="0.3">
      <c r="A575" t="s">
        <v>1281</v>
      </c>
      <c r="B575" t="s">
        <v>1282</v>
      </c>
      <c r="C575" t="s">
        <v>144</v>
      </c>
      <c r="D575" t="s">
        <v>20</v>
      </c>
      <c r="E575" t="s">
        <v>88</v>
      </c>
      <c r="F575" s="2">
        <v>2021</v>
      </c>
      <c r="G575" t="s">
        <v>1340</v>
      </c>
      <c r="H575">
        <v>108</v>
      </c>
      <c r="I575">
        <v>7.1</v>
      </c>
      <c r="J575">
        <v>415598</v>
      </c>
      <c r="K575">
        <v>45.41</v>
      </c>
      <c r="L575" t="s">
        <v>89</v>
      </c>
      <c r="M575" t="s">
        <v>1315</v>
      </c>
      <c r="N575" t="s">
        <v>152</v>
      </c>
      <c r="O575" s="7" t="s">
        <v>39</v>
      </c>
    </row>
    <row r="576" spans="1:15" x14ac:dyDescent="0.3">
      <c r="A576" t="s">
        <v>1283</v>
      </c>
      <c r="B576" t="s">
        <v>1284</v>
      </c>
      <c r="C576" t="s">
        <v>86</v>
      </c>
      <c r="D576" t="s">
        <v>171</v>
      </c>
      <c r="E576" t="s">
        <v>82</v>
      </c>
      <c r="F576" s="2">
        <v>2021</v>
      </c>
      <c r="G576" t="s">
        <v>1316</v>
      </c>
      <c r="H576">
        <v>102</v>
      </c>
      <c r="I576">
        <v>8.3000000000000007</v>
      </c>
      <c r="J576">
        <v>897331</v>
      </c>
      <c r="K576">
        <v>345.51</v>
      </c>
      <c r="L576" t="s">
        <v>89</v>
      </c>
      <c r="M576" t="s">
        <v>1333</v>
      </c>
      <c r="N576" t="s">
        <v>36</v>
      </c>
      <c r="O576" s="6" t="s">
        <v>19</v>
      </c>
    </row>
    <row r="577" spans="1:15" x14ac:dyDescent="0.3">
      <c r="A577" t="s">
        <v>1285</v>
      </c>
      <c r="B577" t="s">
        <v>1286</v>
      </c>
      <c r="C577" t="s">
        <v>39</v>
      </c>
      <c r="D577" t="s">
        <v>20</v>
      </c>
      <c r="E577" t="s">
        <v>49</v>
      </c>
      <c r="F577" s="2">
        <v>2019</v>
      </c>
      <c r="G577" t="s">
        <v>1331</v>
      </c>
      <c r="H577">
        <v>92</v>
      </c>
      <c r="I577">
        <v>7.9</v>
      </c>
      <c r="J577">
        <v>102200</v>
      </c>
      <c r="K577">
        <v>72.19</v>
      </c>
      <c r="L577" t="s">
        <v>52</v>
      </c>
      <c r="M577" t="s">
        <v>1337</v>
      </c>
      <c r="N577" t="s">
        <v>152</v>
      </c>
      <c r="O577" s="7" t="s">
        <v>144</v>
      </c>
    </row>
    <row r="578" spans="1:15" x14ac:dyDescent="0.3">
      <c r="A578" t="s">
        <v>1287</v>
      </c>
      <c r="B578" t="s">
        <v>1288</v>
      </c>
      <c r="C578" t="s">
        <v>48</v>
      </c>
      <c r="D578" t="s">
        <v>20</v>
      </c>
      <c r="E578" t="s">
        <v>192</v>
      </c>
      <c r="F578" s="2">
        <v>2019</v>
      </c>
      <c r="G578" t="s">
        <v>1331</v>
      </c>
      <c r="H578">
        <v>154</v>
      </c>
      <c r="I578">
        <v>6.5</v>
      </c>
      <c r="J578">
        <v>397705</v>
      </c>
      <c r="K578">
        <v>479.37</v>
      </c>
      <c r="L578" t="s">
        <v>101</v>
      </c>
      <c r="M578" t="s">
        <v>1318</v>
      </c>
      <c r="N578" t="s">
        <v>36</v>
      </c>
      <c r="O578" s="6" t="s">
        <v>63</v>
      </c>
    </row>
    <row r="579" spans="1:15" x14ac:dyDescent="0.3">
      <c r="A579" t="s">
        <v>1289</v>
      </c>
      <c r="B579" t="s">
        <v>1290</v>
      </c>
      <c r="C579" t="s">
        <v>39</v>
      </c>
      <c r="D579" t="s">
        <v>72</v>
      </c>
      <c r="E579" t="s">
        <v>41</v>
      </c>
      <c r="F579" s="2">
        <v>2022</v>
      </c>
      <c r="G579" t="s">
        <v>1334</v>
      </c>
      <c r="H579">
        <v>101</v>
      </c>
      <c r="I579">
        <v>7</v>
      </c>
      <c r="J579">
        <v>325114</v>
      </c>
      <c r="K579">
        <v>564.49</v>
      </c>
      <c r="L579" t="s">
        <v>101</v>
      </c>
      <c r="M579" t="s">
        <v>1315</v>
      </c>
      <c r="N579" t="s">
        <v>68</v>
      </c>
      <c r="O579" s="7" t="s">
        <v>63</v>
      </c>
    </row>
    <row r="580" spans="1:15" x14ac:dyDescent="0.3">
      <c r="A580" t="s">
        <v>1291</v>
      </c>
      <c r="B580" t="s">
        <v>1292</v>
      </c>
      <c r="C580" t="s">
        <v>144</v>
      </c>
      <c r="D580" t="s">
        <v>171</v>
      </c>
      <c r="E580" t="s">
        <v>88</v>
      </c>
      <c r="F580" s="2">
        <v>2025</v>
      </c>
      <c r="G580" t="s">
        <v>1332</v>
      </c>
      <c r="H580">
        <v>105</v>
      </c>
      <c r="I580">
        <v>7.4</v>
      </c>
      <c r="J580">
        <v>474009</v>
      </c>
      <c r="K580">
        <v>131.13999999999999</v>
      </c>
      <c r="L580" t="s">
        <v>73</v>
      </c>
      <c r="M580" t="s">
        <v>1336</v>
      </c>
      <c r="N580" t="s">
        <v>152</v>
      </c>
      <c r="O580" s="6" t="s">
        <v>19</v>
      </c>
    </row>
    <row r="581" spans="1:15" x14ac:dyDescent="0.3">
      <c r="A581" t="s">
        <v>1293</v>
      </c>
      <c r="B581" t="s">
        <v>1294</v>
      </c>
      <c r="C581" t="s">
        <v>130</v>
      </c>
      <c r="D581" t="s">
        <v>87</v>
      </c>
      <c r="E581" t="s">
        <v>82</v>
      </c>
      <c r="F581" s="2">
        <v>2018</v>
      </c>
      <c r="G581" t="s">
        <v>1325</v>
      </c>
      <c r="H581">
        <v>177</v>
      </c>
      <c r="I581">
        <v>7.6</v>
      </c>
      <c r="J581">
        <v>748821</v>
      </c>
      <c r="K581">
        <v>250.43</v>
      </c>
      <c r="L581" t="s">
        <v>66</v>
      </c>
      <c r="M581" t="s">
        <v>1324</v>
      </c>
      <c r="N581" t="s">
        <v>54</v>
      </c>
      <c r="O581" s="7" t="s">
        <v>116</v>
      </c>
    </row>
    <row r="582" spans="1:15" x14ac:dyDescent="0.3">
      <c r="A582" t="s">
        <v>1295</v>
      </c>
      <c r="B582" t="s">
        <v>1296</v>
      </c>
      <c r="C582" t="s">
        <v>19</v>
      </c>
      <c r="D582" t="s">
        <v>20</v>
      </c>
      <c r="E582" t="s">
        <v>31</v>
      </c>
      <c r="F582" s="2">
        <v>2022</v>
      </c>
      <c r="G582" t="s">
        <v>1327</v>
      </c>
      <c r="H582">
        <v>157</v>
      </c>
      <c r="I582">
        <v>4.9000000000000004</v>
      </c>
      <c r="J582">
        <v>350436</v>
      </c>
      <c r="K582">
        <v>596.13</v>
      </c>
      <c r="L582" t="s">
        <v>34</v>
      </c>
      <c r="M582" t="s">
        <v>1335</v>
      </c>
      <c r="N582" t="s">
        <v>152</v>
      </c>
      <c r="O582" s="6" t="s">
        <v>144</v>
      </c>
    </row>
    <row r="583" spans="1:15" x14ac:dyDescent="0.3">
      <c r="A583" t="s">
        <v>1297</v>
      </c>
      <c r="B583" t="s">
        <v>1298</v>
      </c>
      <c r="C583" t="s">
        <v>71</v>
      </c>
      <c r="D583" t="s">
        <v>20</v>
      </c>
      <c r="E583" t="s">
        <v>49</v>
      </c>
      <c r="F583" s="2">
        <v>2025</v>
      </c>
      <c r="G583" t="s">
        <v>1327</v>
      </c>
      <c r="H583">
        <v>134</v>
      </c>
      <c r="I583">
        <v>7.4</v>
      </c>
      <c r="J583">
        <v>937633</v>
      </c>
      <c r="K583">
        <v>755.14</v>
      </c>
      <c r="L583" t="s">
        <v>109</v>
      </c>
      <c r="M583" t="s">
        <v>1318</v>
      </c>
      <c r="N583" t="s">
        <v>60</v>
      </c>
      <c r="O583" s="7" t="s">
        <v>86</v>
      </c>
    </row>
    <row r="584" spans="1:15" x14ac:dyDescent="0.3">
      <c r="A584" t="s">
        <v>1299</v>
      </c>
      <c r="B584" t="s">
        <v>1300</v>
      </c>
      <c r="C584" t="s">
        <v>86</v>
      </c>
      <c r="D584" t="s">
        <v>87</v>
      </c>
      <c r="E584" t="s">
        <v>88</v>
      </c>
      <c r="F584" s="2">
        <v>2016</v>
      </c>
      <c r="G584" t="s">
        <v>1326</v>
      </c>
      <c r="H584">
        <v>181</v>
      </c>
      <c r="I584">
        <v>8.1</v>
      </c>
      <c r="J584">
        <v>369411</v>
      </c>
      <c r="K584">
        <v>700.31</v>
      </c>
      <c r="L584" t="s">
        <v>179</v>
      </c>
      <c r="M584" t="s">
        <v>1318</v>
      </c>
      <c r="N584" t="s">
        <v>36</v>
      </c>
      <c r="O584" s="6" t="s">
        <v>19</v>
      </c>
    </row>
    <row r="585" spans="1:15" x14ac:dyDescent="0.3">
      <c r="A585" t="s">
        <v>1301</v>
      </c>
      <c r="B585" t="s">
        <v>1302</v>
      </c>
      <c r="C585" t="s">
        <v>116</v>
      </c>
      <c r="D585" t="s">
        <v>215</v>
      </c>
      <c r="E585" t="s">
        <v>31</v>
      </c>
      <c r="F585" s="2">
        <v>2020</v>
      </c>
      <c r="G585" t="s">
        <v>1316</v>
      </c>
      <c r="H585">
        <v>152</v>
      </c>
      <c r="I585">
        <v>8.6</v>
      </c>
      <c r="J585">
        <v>454759</v>
      </c>
      <c r="K585">
        <v>58.83</v>
      </c>
      <c r="L585" t="s">
        <v>133</v>
      </c>
      <c r="M585" t="s">
        <v>1323</v>
      </c>
      <c r="N585" t="s">
        <v>123</v>
      </c>
      <c r="O585" s="7" t="s">
        <v>19</v>
      </c>
    </row>
    <row r="586" spans="1:15" x14ac:dyDescent="0.3">
      <c r="A586" t="s">
        <v>1303</v>
      </c>
      <c r="B586" t="s">
        <v>1304</v>
      </c>
      <c r="C586" t="s">
        <v>48</v>
      </c>
      <c r="D586" t="s">
        <v>57</v>
      </c>
      <c r="E586" t="s">
        <v>41</v>
      </c>
      <c r="F586" s="2">
        <v>2016</v>
      </c>
      <c r="G586" t="s">
        <v>1322</v>
      </c>
      <c r="H586">
        <v>106</v>
      </c>
      <c r="I586">
        <v>7.9</v>
      </c>
      <c r="J586">
        <v>487354</v>
      </c>
      <c r="K586">
        <v>284.43</v>
      </c>
      <c r="L586" t="s">
        <v>109</v>
      </c>
      <c r="M586" t="s">
        <v>1341</v>
      </c>
      <c r="N586" t="s">
        <v>54</v>
      </c>
      <c r="O586" s="6" t="s">
        <v>86</v>
      </c>
    </row>
    <row r="587" spans="1:15" x14ac:dyDescent="0.3">
      <c r="A587" t="s">
        <v>1305</v>
      </c>
      <c r="B587" t="s">
        <v>1306</v>
      </c>
      <c r="C587" t="s">
        <v>116</v>
      </c>
      <c r="D587" t="s">
        <v>215</v>
      </c>
      <c r="E587" t="s">
        <v>41</v>
      </c>
      <c r="F587" s="2">
        <v>2017</v>
      </c>
      <c r="G587" t="s">
        <v>1327</v>
      </c>
      <c r="H587">
        <v>142</v>
      </c>
      <c r="I587">
        <v>7.8</v>
      </c>
      <c r="J587">
        <v>92855</v>
      </c>
      <c r="K587">
        <v>1478.45</v>
      </c>
      <c r="L587" t="s">
        <v>145</v>
      </c>
      <c r="M587" t="s">
        <v>1324</v>
      </c>
      <c r="N587" t="s">
        <v>60</v>
      </c>
      <c r="O587" s="7" t="s">
        <v>130</v>
      </c>
    </row>
    <row r="588" spans="1:15" x14ac:dyDescent="0.3">
      <c r="A588" t="s">
        <v>1307</v>
      </c>
      <c r="B588" t="s">
        <v>1308</v>
      </c>
      <c r="C588" t="s">
        <v>63</v>
      </c>
      <c r="D588" t="s">
        <v>57</v>
      </c>
      <c r="E588" t="s">
        <v>88</v>
      </c>
      <c r="F588" s="2">
        <v>2025</v>
      </c>
      <c r="G588" t="s">
        <v>1322</v>
      </c>
      <c r="H588">
        <v>133</v>
      </c>
      <c r="I588">
        <v>6.2</v>
      </c>
      <c r="J588">
        <v>46394</v>
      </c>
      <c r="K588">
        <v>78.599999999999994</v>
      </c>
      <c r="L588" t="s">
        <v>52</v>
      </c>
      <c r="M588" t="s">
        <v>1318</v>
      </c>
      <c r="N588" t="s">
        <v>27</v>
      </c>
      <c r="O588" s="6" t="s">
        <v>19</v>
      </c>
    </row>
    <row r="589" spans="1:15" x14ac:dyDescent="0.3">
      <c r="A589" t="s">
        <v>1309</v>
      </c>
      <c r="B589" t="s">
        <v>1310</v>
      </c>
      <c r="C589" t="s">
        <v>86</v>
      </c>
      <c r="D589" t="s">
        <v>20</v>
      </c>
      <c r="E589" t="s">
        <v>41</v>
      </c>
      <c r="F589" s="2">
        <v>2018</v>
      </c>
      <c r="G589" t="s">
        <v>1329</v>
      </c>
      <c r="H589">
        <v>169</v>
      </c>
      <c r="I589">
        <v>6.5</v>
      </c>
      <c r="J589">
        <v>557511</v>
      </c>
      <c r="K589">
        <v>652.41</v>
      </c>
      <c r="L589" t="s">
        <v>34</v>
      </c>
      <c r="M589" t="s">
        <v>1321</v>
      </c>
      <c r="N589" t="s">
        <v>54</v>
      </c>
      <c r="O589" s="7" t="s">
        <v>39</v>
      </c>
    </row>
    <row r="590" spans="1:15" x14ac:dyDescent="0.3">
      <c r="A590" t="s">
        <v>1311</v>
      </c>
      <c r="B590" t="s">
        <v>1312</v>
      </c>
      <c r="C590" t="s">
        <v>19</v>
      </c>
      <c r="D590" t="s">
        <v>64</v>
      </c>
      <c r="E590" t="s">
        <v>88</v>
      </c>
      <c r="F590" s="2">
        <v>2021</v>
      </c>
      <c r="G590" t="s">
        <v>1316</v>
      </c>
      <c r="H590">
        <v>115</v>
      </c>
      <c r="I590">
        <v>7.5</v>
      </c>
      <c r="J590">
        <v>61518</v>
      </c>
      <c r="K590">
        <v>438.1</v>
      </c>
      <c r="L590" t="s">
        <v>89</v>
      </c>
      <c r="M590" t="s">
        <v>1320</v>
      </c>
      <c r="N590" t="s">
        <v>123</v>
      </c>
      <c r="O590" s="6" t="s">
        <v>86</v>
      </c>
    </row>
    <row r="591" spans="1:15" x14ac:dyDescent="0.3">
      <c r="A591" s="5"/>
      <c r="B591" s="5"/>
      <c r="C591" s="5"/>
      <c r="D591" s="5"/>
      <c r="E591" s="5"/>
      <c r="F591" s="2"/>
      <c r="G591" s="5"/>
      <c r="I591">
        <f>AVERAGE(Table1_1[IMDb Rating])</f>
        <v>7.1772495755517776</v>
      </c>
      <c r="L591" s="5"/>
      <c r="M591" s="5"/>
      <c r="N591" s="5"/>
      <c r="O591" s="7" t="s">
        <v>30</v>
      </c>
    </row>
    <row r="592" spans="1:15" x14ac:dyDescent="0.3">
      <c r="C592">
        <f>MAXA(Table1_1[movie category])</f>
        <v>0</v>
      </c>
      <c r="O592" s="6" t="s">
        <v>86</v>
      </c>
    </row>
    <row r="593" spans="15:15" x14ac:dyDescent="0.3">
      <c r="O593" s="7" t="s">
        <v>30</v>
      </c>
    </row>
    <row r="594" spans="15:15" x14ac:dyDescent="0.3">
      <c r="O594" s="6" t="s">
        <v>144</v>
      </c>
    </row>
    <row r="595" spans="15:15" x14ac:dyDescent="0.3">
      <c r="O595" s="7" t="s">
        <v>86</v>
      </c>
    </row>
    <row r="596" spans="15:15" x14ac:dyDescent="0.3">
      <c r="O596" s="6" t="s">
        <v>39</v>
      </c>
    </row>
    <row r="597" spans="15:15" x14ac:dyDescent="0.3">
      <c r="O597" s="7" t="s">
        <v>48</v>
      </c>
    </row>
    <row r="598" spans="15:15" x14ac:dyDescent="0.3">
      <c r="O598" s="6" t="s">
        <v>39</v>
      </c>
    </row>
    <row r="599" spans="15:15" x14ac:dyDescent="0.3">
      <c r="O599" s="7" t="s">
        <v>144</v>
      </c>
    </row>
    <row r="600" spans="15:15" x14ac:dyDescent="0.3">
      <c r="O600" s="6" t="s">
        <v>130</v>
      </c>
    </row>
    <row r="601" spans="15:15" x14ac:dyDescent="0.3">
      <c r="O601" s="7" t="s">
        <v>19</v>
      </c>
    </row>
    <row r="602" spans="15:15" x14ac:dyDescent="0.3">
      <c r="O602" s="6" t="s">
        <v>71</v>
      </c>
    </row>
    <row r="603" spans="15:15" x14ac:dyDescent="0.3">
      <c r="O603" s="7" t="s">
        <v>86</v>
      </c>
    </row>
    <row r="604" spans="15:15" x14ac:dyDescent="0.3">
      <c r="O604" s="6" t="s">
        <v>116</v>
      </c>
    </row>
    <row r="605" spans="15:15" x14ac:dyDescent="0.3">
      <c r="O605" s="7" t="s">
        <v>48</v>
      </c>
    </row>
    <row r="606" spans="15:15" x14ac:dyDescent="0.3">
      <c r="O606" s="6" t="s">
        <v>116</v>
      </c>
    </row>
    <row r="607" spans="15:15" x14ac:dyDescent="0.3">
      <c r="O607" s="7" t="s">
        <v>63</v>
      </c>
    </row>
    <row r="608" spans="15:15" x14ac:dyDescent="0.3">
      <c r="O608" s="6" t="s">
        <v>86</v>
      </c>
    </row>
    <row r="609" spans="15:15" x14ac:dyDescent="0.3">
      <c r="O609" s="11" t="s">
        <v>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7389-9318-49B1-B7F1-671A5CEBE20D}">
  <dimension ref="A1:A7"/>
  <sheetViews>
    <sheetView workbookViewId="0">
      <selection activeCell="Q11" sqref="Q11"/>
    </sheetView>
  </sheetViews>
  <sheetFormatPr defaultRowHeight="14.4" x14ac:dyDescent="0.3"/>
  <sheetData>
    <row r="1" spans="1:1" x14ac:dyDescent="0.3">
      <c r="A1" s="3" t="s">
        <v>1344</v>
      </c>
    </row>
    <row r="2" spans="1:1" x14ac:dyDescent="0.3">
      <c r="A2" s="3" t="s">
        <v>1345</v>
      </c>
    </row>
    <row r="3" spans="1:1" x14ac:dyDescent="0.3">
      <c r="A3" s="3" t="s">
        <v>1346</v>
      </c>
    </row>
    <row r="4" spans="1:1" x14ac:dyDescent="0.3">
      <c r="A4" s="3" t="s">
        <v>1347</v>
      </c>
    </row>
    <row r="5" spans="1:1" x14ac:dyDescent="0.3">
      <c r="A5" s="3" t="s">
        <v>1348</v>
      </c>
    </row>
    <row r="6" spans="1:1" x14ac:dyDescent="0.3">
      <c r="A6" s="3" t="s">
        <v>1349</v>
      </c>
    </row>
    <row r="7" spans="1:1" x14ac:dyDescent="0.3">
      <c r="A7" s="3" t="s">
        <v>1350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09"/>
  <sheetViews>
    <sheetView workbookViewId="0">
      <pane ySplit="1" topLeftCell="A539" activePane="bottomLeft" state="frozen"/>
      <selection pane="bottomLeft" activeCell="E20" sqref="E20"/>
    </sheetView>
  </sheetViews>
  <sheetFormatPr defaultRowHeight="14.4" x14ac:dyDescent="0.3"/>
  <cols>
    <col min="1" max="1" width="12" customWidth="1"/>
    <col min="2" max="2" width="28" customWidth="1"/>
    <col min="3" max="4" width="12" customWidth="1"/>
    <col min="5" max="6" width="14" customWidth="1"/>
    <col min="7" max="7" width="15.44140625" customWidth="1"/>
    <col min="8" max="8" width="16" customWidth="1"/>
    <col min="9" max="9" width="13.33203125" customWidth="1"/>
    <col min="10" max="10" width="12" customWidth="1"/>
    <col min="11" max="11" width="23" customWidth="1"/>
    <col min="12" max="12" width="22" customWidth="1"/>
    <col min="13" max="13" width="13" customWidth="1"/>
    <col min="14" max="14" width="22" customWidth="1"/>
    <col min="15" max="15" width="19" customWidth="1"/>
    <col min="16" max="16" width="14.21875" customWidth="1"/>
    <col min="17" max="17" width="12"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t="s">
        <v>21</v>
      </c>
      <c r="F2">
        <v>2018</v>
      </c>
      <c r="G2" t="s">
        <v>22</v>
      </c>
      <c r="H2">
        <v>125</v>
      </c>
      <c r="I2">
        <v>6.5</v>
      </c>
      <c r="J2">
        <v>59570</v>
      </c>
      <c r="K2">
        <v>731.68</v>
      </c>
      <c r="L2">
        <v>227.29</v>
      </c>
      <c r="M2" t="s">
        <v>23</v>
      </c>
      <c r="N2" t="s">
        <v>24</v>
      </c>
      <c r="O2" t="s">
        <v>25</v>
      </c>
      <c r="P2" t="s">
        <v>26</v>
      </c>
      <c r="Q2" t="s">
        <v>27</v>
      </c>
    </row>
    <row r="3" spans="1:17" x14ac:dyDescent="0.3">
      <c r="A3" t="s">
        <v>28</v>
      </c>
      <c r="B3" t="s">
        <v>29</v>
      </c>
      <c r="C3" t="s">
        <v>30</v>
      </c>
      <c r="D3" t="s">
        <v>20</v>
      </c>
      <c r="E3" t="s">
        <v>31</v>
      </c>
      <c r="F3">
        <v>2015</v>
      </c>
      <c r="G3" t="s">
        <v>32</v>
      </c>
      <c r="H3">
        <v>113</v>
      </c>
      <c r="I3">
        <v>7.2</v>
      </c>
      <c r="J3">
        <v>50046</v>
      </c>
      <c r="K3">
        <v>256.37</v>
      </c>
      <c r="L3">
        <v>70.930000000000007</v>
      </c>
      <c r="M3" t="s">
        <v>33</v>
      </c>
      <c r="N3" t="s">
        <v>34</v>
      </c>
      <c r="O3" t="s">
        <v>35</v>
      </c>
      <c r="P3" t="s">
        <v>26</v>
      </c>
      <c r="Q3" t="s">
        <v>36</v>
      </c>
    </row>
    <row r="4" spans="1:17" x14ac:dyDescent="0.3">
      <c r="A4" t="s">
        <v>37</v>
      </c>
      <c r="B4" t="s">
        <v>38</v>
      </c>
      <c r="C4" t="s">
        <v>39</v>
      </c>
      <c r="D4" t="s">
        <v>40</v>
      </c>
      <c r="E4" t="s">
        <v>41</v>
      </c>
      <c r="F4">
        <v>2020</v>
      </c>
      <c r="G4" t="s">
        <v>32</v>
      </c>
      <c r="H4">
        <v>98</v>
      </c>
      <c r="I4">
        <v>6.5</v>
      </c>
      <c r="J4">
        <v>48801</v>
      </c>
      <c r="K4">
        <v>919.99</v>
      </c>
      <c r="L4">
        <v>224.43</v>
      </c>
      <c r="M4" t="s">
        <v>42</v>
      </c>
      <c r="N4" t="s">
        <v>43</v>
      </c>
      <c r="O4" t="s">
        <v>44</v>
      </c>
      <c r="P4" t="s">
        <v>45</v>
      </c>
      <c r="Q4" t="s">
        <v>36</v>
      </c>
    </row>
    <row r="5" spans="1:17" x14ac:dyDescent="0.3">
      <c r="A5" t="s">
        <v>46</v>
      </c>
      <c r="B5" t="s">
        <v>47</v>
      </c>
      <c r="C5" t="s">
        <v>48</v>
      </c>
      <c r="D5" t="s">
        <v>20</v>
      </c>
      <c r="E5" t="s">
        <v>49</v>
      </c>
      <c r="F5">
        <v>2025</v>
      </c>
      <c r="G5" t="s">
        <v>50</v>
      </c>
      <c r="H5">
        <v>140</v>
      </c>
      <c r="I5">
        <v>6.9</v>
      </c>
      <c r="J5">
        <v>124852</v>
      </c>
      <c r="K5">
        <v>686.33</v>
      </c>
      <c r="L5">
        <v>134.63999999999999</v>
      </c>
      <c r="M5" t="s">
        <v>51</v>
      </c>
      <c r="N5" t="s">
        <v>52</v>
      </c>
      <c r="O5" t="s">
        <v>53</v>
      </c>
      <c r="P5" t="s">
        <v>26</v>
      </c>
      <c r="Q5" t="s">
        <v>54</v>
      </c>
    </row>
    <row r="6" spans="1:17" x14ac:dyDescent="0.3">
      <c r="A6" t="s">
        <v>55</v>
      </c>
      <c r="B6" t="s">
        <v>56</v>
      </c>
      <c r="C6" t="s">
        <v>48</v>
      </c>
      <c r="D6" t="s">
        <v>57</v>
      </c>
      <c r="E6" t="s">
        <v>41</v>
      </c>
      <c r="F6">
        <v>2017</v>
      </c>
      <c r="G6" t="s">
        <v>22</v>
      </c>
      <c r="H6">
        <v>151</v>
      </c>
      <c r="I6">
        <v>6.5</v>
      </c>
      <c r="J6">
        <v>406585</v>
      </c>
      <c r="K6">
        <v>363.18</v>
      </c>
      <c r="L6">
        <v>228.56</v>
      </c>
      <c r="M6" t="s">
        <v>58</v>
      </c>
      <c r="N6" t="s">
        <v>24</v>
      </c>
      <c r="O6" t="s">
        <v>59</v>
      </c>
      <c r="P6" t="s">
        <v>26</v>
      </c>
      <c r="Q6" t="s">
        <v>60</v>
      </c>
    </row>
    <row r="7" spans="1:17" x14ac:dyDescent="0.3">
      <c r="A7" t="s">
        <v>61</v>
      </c>
      <c r="B7" t="s">
        <v>62</v>
      </c>
      <c r="C7" t="s">
        <v>63</v>
      </c>
      <c r="D7" t="s">
        <v>64</v>
      </c>
      <c r="E7" t="s">
        <v>21</v>
      </c>
      <c r="F7">
        <v>2019</v>
      </c>
      <c r="G7" t="s">
        <v>65</v>
      </c>
      <c r="H7">
        <v>157</v>
      </c>
      <c r="I7">
        <v>7.4</v>
      </c>
      <c r="J7">
        <v>907888</v>
      </c>
      <c r="K7">
        <v>996.22</v>
      </c>
      <c r="L7">
        <v>172.08</v>
      </c>
      <c r="M7" t="s">
        <v>42</v>
      </c>
      <c r="N7" t="s">
        <v>66</v>
      </c>
      <c r="O7" t="s">
        <v>67</v>
      </c>
      <c r="P7" t="s">
        <v>26</v>
      </c>
      <c r="Q7" t="s">
        <v>68</v>
      </c>
    </row>
    <row r="8" spans="1:17" x14ac:dyDescent="0.3">
      <c r="A8" t="s">
        <v>69</v>
      </c>
      <c r="B8" t="s">
        <v>70</v>
      </c>
      <c r="C8" t="s">
        <v>71</v>
      </c>
      <c r="D8" t="s">
        <v>72</v>
      </c>
      <c r="E8" t="s">
        <v>41</v>
      </c>
      <c r="F8">
        <v>2019</v>
      </c>
      <c r="G8" t="s">
        <v>65</v>
      </c>
      <c r="H8">
        <v>156</v>
      </c>
      <c r="I8">
        <v>8.6999999999999993</v>
      </c>
      <c r="J8">
        <v>184440</v>
      </c>
      <c r="K8">
        <v>575.89</v>
      </c>
      <c r="L8">
        <v>157.25</v>
      </c>
      <c r="M8" t="s">
        <v>42</v>
      </c>
      <c r="N8" t="s">
        <v>73</v>
      </c>
      <c r="O8" t="s">
        <v>74</v>
      </c>
      <c r="P8" t="s">
        <v>26</v>
      </c>
      <c r="Q8" t="s">
        <v>68</v>
      </c>
    </row>
    <row r="9" spans="1:17" x14ac:dyDescent="0.3">
      <c r="A9" t="s">
        <v>75</v>
      </c>
      <c r="B9" t="s">
        <v>76</v>
      </c>
      <c r="C9" t="s">
        <v>48</v>
      </c>
      <c r="D9" t="s">
        <v>20</v>
      </c>
      <c r="E9" t="s">
        <v>49</v>
      </c>
      <c r="F9">
        <v>2019</v>
      </c>
      <c r="G9" t="s">
        <v>77</v>
      </c>
      <c r="H9">
        <v>106</v>
      </c>
      <c r="I9">
        <v>5.7</v>
      </c>
      <c r="J9">
        <v>754052</v>
      </c>
      <c r="K9">
        <v>191.2</v>
      </c>
      <c r="L9">
        <v>30.4</v>
      </c>
      <c r="M9" t="s">
        <v>78</v>
      </c>
      <c r="N9" t="s">
        <v>43</v>
      </c>
      <c r="O9" t="s">
        <v>35</v>
      </c>
      <c r="P9" t="s">
        <v>26</v>
      </c>
      <c r="Q9" t="s">
        <v>60</v>
      </c>
    </row>
    <row r="10" spans="1:17" x14ac:dyDescent="0.3">
      <c r="A10" t="s">
        <v>79</v>
      </c>
      <c r="B10" t="s">
        <v>80</v>
      </c>
      <c r="C10" t="s">
        <v>71</v>
      </c>
      <c r="D10" t="s">
        <v>81</v>
      </c>
      <c r="E10" t="s">
        <v>82</v>
      </c>
      <c r="F10">
        <v>2016</v>
      </c>
      <c r="G10" t="s">
        <v>22</v>
      </c>
      <c r="H10">
        <v>110</v>
      </c>
      <c r="I10">
        <v>7.7</v>
      </c>
      <c r="J10">
        <v>275299</v>
      </c>
      <c r="K10">
        <v>339.62</v>
      </c>
      <c r="L10">
        <v>175.91</v>
      </c>
      <c r="M10" t="s">
        <v>42</v>
      </c>
      <c r="N10" t="s">
        <v>83</v>
      </c>
      <c r="O10" t="s">
        <v>25</v>
      </c>
      <c r="P10" t="s">
        <v>45</v>
      </c>
      <c r="Q10" t="s">
        <v>54</v>
      </c>
    </row>
    <row r="11" spans="1:17" x14ac:dyDescent="0.3">
      <c r="A11" t="s">
        <v>84</v>
      </c>
      <c r="B11" t="s">
        <v>85</v>
      </c>
      <c r="C11" t="s">
        <v>86</v>
      </c>
      <c r="D11" t="s">
        <v>87</v>
      </c>
      <c r="E11" t="s">
        <v>88</v>
      </c>
      <c r="F11">
        <v>2019</v>
      </c>
      <c r="G11" t="s">
        <v>22</v>
      </c>
      <c r="H11">
        <v>103</v>
      </c>
      <c r="I11">
        <v>7</v>
      </c>
      <c r="J11">
        <v>174974</v>
      </c>
      <c r="K11">
        <v>1298.31</v>
      </c>
      <c r="L11">
        <v>225.8</v>
      </c>
      <c r="M11" t="s">
        <v>42</v>
      </c>
      <c r="N11" t="s">
        <v>89</v>
      </c>
      <c r="O11" t="s">
        <v>67</v>
      </c>
      <c r="P11" t="s">
        <v>26</v>
      </c>
      <c r="Q11" t="s">
        <v>68</v>
      </c>
    </row>
    <row r="12" spans="1:17" x14ac:dyDescent="0.3">
      <c r="A12" t="s">
        <v>90</v>
      </c>
      <c r="B12" t="s">
        <v>91</v>
      </c>
      <c r="C12" t="s">
        <v>39</v>
      </c>
      <c r="D12" t="s">
        <v>20</v>
      </c>
      <c r="E12" t="s">
        <v>92</v>
      </c>
      <c r="F12">
        <v>2022</v>
      </c>
      <c r="G12" t="s">
        <v>93</v>
      </c>
      <c r="H12">
        <v>164</v>
      </c>
      <c r="I12">
        <v>6.9</v>
      </c>
      <c r="J12">
        <v>560869</v>
      </c>
      <c r="K12">
        <v>29.89</v>
      </c>
      <c r="L12">
        <v>8.69</v>
      </c>
      <c r="M12" t="s">
        <v>51</v>
      </c>
      <c r="N12" t="s">
        <v>43</v>
      </c>
      <c r="O12" t="s">
        <v>25</v>
      </c>
      <c r="P12" t="s">
        <v>26</v>
      </c>
      <c r="Q12" t="s">
        <v>68</v>
      </c>
    </row>
    <row r="13" spans="1:17" x14ac:dyDescent="0.3">
      <c r="A13" t="s">
        <v>94</v>
      </c>
      <c r="B13" t="s">
        <v>95</v>
      </c>
      <c r="C13" t="s">
        <v>39</v>
      </c>
      <c r="D13" t="s">
        <v>40</v>
      </c>
      <c r="E13" t="s">
        <v>88</v>
      </c>
      <c r="F13">
        <v>2020</v>
      </c>
      <c r="G13" t="s">
        <v>96</v>
      </c>
      <c r="H13">
        <v>159</v>
      </c>
      <c r="I13">
        <v>7.2</v>
      </c>
      <c r="J13">
        <v>505723</v>
      </c>
      <c r="K13">
        <v>321.42</v>
      </c>
      <c r="L13">
        <v>240.51</v>
      </c>
      <c r="M13" t="s">
        <v>42</v>
      </c>
      <c r="N13" t="s">
        <v>89</v>
      </c>
      <c r="O13" t="s">
        <v>97</v>
      </c>
      <c r="P13" t="s">
        <v>26</v>
      </c>
      <c r="Q13" t="s">
        <v>60</v>
      </c>
    </row>
    <row r="14" spans="1:17" x14ac:dyDescent="0.3">
      <c r="A14" t="s">
        <v>98</v>
      </c>
      <c r="B14" t="s">
        <v>99</v>
      </c>
      <c r="C14" t="s">
        <v>19</v>
      </c>
      <c r="D14" t="s">
        <v>20</v>
      </c>
      <c r="E14" t="s">
        <v>21</v>
      </c>
      <c r="F14">
        <v>2017</v>
      </c>
      <c r="G14" t="s">
        <v>100</v>
      </c>
      <c r="H14">
        <v>139</v>
      </c>
      <c r="J14">
        <v>599184</v>
      </c>
      <c r="K14">
        <v>553.01</v>
      </c>
      <c r="L14">
        <v>105.31</v>
      </c>
      <c r="M14" t="s">
        <v>51</v>
      </c>
      <c r="N14" t="s">
        <v>101</v>
      </c>
      <c r="O14" t="s">
        <v>74</v>
      </c>
      <c r="P14" t="s">
        <v>26</v>
      </c>
      <c r="Q14" t="s">
        <v>60</v>
      </c>
    </row>
    <row r="15" spans="1:17" x14ac:dyDescent="0.3">
      <c r="A15" t="s">
        <v>102</v>
      </c>
      <c r="B15" t="s">
        <v>103</v>
      </c>
      <c r="C15" t="s">
        <v>104</v>
      </c>
      <c r="D15" t="s">
        <v>87</v>
      </c>
      <c r="E15" t="s">
        <v>88</v>
      </c>
      <c r="F15">
        <v>2025</v>
      </c>
      <c r="G15" t="s">
        <v>100</v>
      </c>
      <c r="H15">
        <v>95</v>
      </c>
      <c r="I15">
        <v>7.4</v>
      </c>
      <c r="J15">
        <v>495112</v>
      </c>
      <c r="K15">
        <v>421.76</v>
      </c>
      <c r="L15">
        <v>217.09</v>
      </c>
      <c r="M15" t="s">
        <v>42</v>
      </c>
      <c r="N15" t="s">
        <v>83</v>
      </c>
      <c r="O15" t="s">
        <v>105</v>
      </c>
      <c r="P15" t="s">
        <v>45</v>
      </c>
      <c r="Q15" t="s">
        <v>68</v>
      </c>
    </row>
    <row r="16" spans="1:17" x14ac:dyDescent="0.3">
      <c r="A16" t="s">
        <v>106</v>
      </c>
      <c r="B16" t="s">
        <v>107</v>
      </c>
      <c r="C16" t="s">
        <v>48</v>
      </c>
      <c r="D16" t="s">
        <v>20</v>
      </c>
      <c r="E16" t="s">
        <v>82</v>
      </c>
      <c r="F16">
        <v>2016</v>
      </c>
      <c r="G16" t="s">
        <v>108</v>
      </c>
      <c r="H16">
        <v>184</v>
      </c>
      <c r="I16">
        <v>7.7</v>
      </c>
      <c r="J16">
        <v>562452</v>
      </c>
      <c r="K16">
        <v>1471.82</v>
      </c>
      <c r="L16">
        <v>220.27</v>
      </c>
      <c r="M16" t="s">
        <v>78</v>
      </c>
      <c r="N16" t="s">
        <v>109</v>
      </c>
      <c r="O16" t="s">
        <v>67</v>
      </c>
      <c r="P16" t="s">
        <v>45</v>
      </c>
      <c r="Q16" t="s">
        <v>60</v>
      </c>
    </row>
    <row r="17" spans="1:17" x14ac:dyDescent="0.3">
      <c r="A17" t="s">
        <v>110</v>
      </c>
      <c r="B17" t="s">
        <v>111</v>
      </c>
      <c r="C17" t="s">
        <v>112</v>
      </c>
      <c r="D17" t="s">
        <v>64</v>
      </c>
      <c r="E17" t="s">
        <v>41</v>
      </c>
      <c r="F17">
        <v>2024</v>
      </c>
      <c r="G17" t="s">
        <v>113</v>
      </c>
      <c r="H17">
        <v>157</v>
      </c>
      <c r="I17">
        <v>6.5</v>
      </c>
      <c r="J17">
        <v>875994</v>
      </c>
      <c r="K17">
        <v>1134.78</v>
      </c>
      <c r="L17">
        <v>212.66</v>
      </c>
      <c r="M17" t="s">
        <v>42</v>
      </c>
      <c r="N17" t="s">
        <v>109</v>
      </c>
      <c r="O17" t="s">
        <v>105</v>
      </c>
      <c r="P17" t="s">
        <v>26</v>
      </c>
      <c r="Q17" t="s">
        <v>60</v>
      </c>
    </row>
    <row r="18" spans="1:17" x14ac:dyDescent="0.3">
      <c r="A18" t="s">
        <v>114</v>
      </c>
      <c r="B18" t="s">
        <v>115</v>
      </c>
      <c r="C18" t="s">
        <v>116</v>
      </c>
      <c r="D18" t="s">
        <v>20</v>
      </c>
      <c r="E18" t="s">
        <v>21</v>
      </c>
      <c r="F18">
        <v>2023</v>
      </c>
      <c r="G18" t="s">
        <v>50</v>
      </c>
      <c r="H18">
        <v>132</v>
      </c>
      <c r="I18">
        <v>6.6</v>
      </c>
      <c r="J18">
        <v>918119</v>
      </c>
      <c r="K18">
        <v>55.55</v>
      </c>
      <c r="L18">
        <v>12.77</v>
      </c>
      <c r="M18" t="s">
        <v>23</v>
      </c>
      <c r="N18" t="s">
        <v>52</v>
      </c>
      <c r="O18" t="s">
        <v>67</v>
      </c>
      <c r="P18" t="s">
        <v>26</v>
      </c>
      <c r="Q18" t="s">
        <v>54</v>
      </c>
    </row>
    <row r="19" spans="1:17" x14ac:dyDescent="0.3">
      <c r="A19" t="s">
        <v>117</v>
      </c>
      <c r="B19" t="s">
        <v>118</v>
      </c>
      <c r="C19" t="s">
        <v>63</v>
      </c>
      <c r="D19" t="s">
        <v>20</v>
      </c>
      <c r="E19" t="s">
        <v>41</v>
      </c>
      <c r="F19">
        <v>2015</v>
      </c>
      <c r="G19" t="s">
        <v>96</v>
      </c>
      <c r="H19">
        <v>172</v>
      </c>
      <c r="I19">
        <v>4.5</v>
      </c>
      <c r="J19">
        <v>350272</v>
      </c>
      <c r="K19">
        <v>489.93</v>
      </c>
      <c r="L19">
        <v>86.66</v>
      </c>
      <c r="M19" t="s">
        <v>51</v>
      </c>
      <c r="N19" t="s">
        <v>119</v>
      </c>
      <c r="O19" t="s">
        <v>120</v>
      </c>
      <c r="P19" t="s">
        <v>26</v>
      </c>
      <c r="Q19" t="s">
        <v>54</v>
      </c>
    </row>
    <row r="20" spans="1:17" x14ac:dyDescent="0.3">
      <c r="A20" t="s">
        <v>121</v>
      </c>
      <c r="B20" t="s">
        <v>122</v>
      </c>
      <c r="C20" t="s">
        <v>86</v>
      </c>
      <c r="D20" t="s">
        <v>87</v>
      </c>
      <c r="E20" t="s">
        <v>88</v>
      </c>
      <c r="F20">
        <v>2023</v>
      </c>
      <c r="G20" t="s">
        <v>65</v>
      </c>
      <c r="H20">
        <v>149</v>
      </c>
      <c r="I20">
        <v>6.3</v>
      </c>
      <c r="J20">
        <v>814394</v>
      </c>
      <c r="K20">
        <v>332.99</v>
      </c>
      <c r="L20">
        <v>45.35</v>
      </c>
      <c r="M20" t="s">
        <v>42</v>
      </c>
      <c r="N20" t="s">
        <v>34</v>
      </c>
      <c r="O20" t="s">
        <v>35</v>
      </c>
      <c r="P20" t="s">
        <v>26</v>
      </c>
      <c r="Q20" t="s">
        <v>123</v>
      </c>
    </row>
    <row r="21" spans="1:17" x14ac:dyDescent="0.3">
      <c r="A21" t="s">
        <v>124</v>
      </c>
      <c r="B21" t="s">
        <v>125</v>
      </c>
      <c r="C21" t="s">
        <v>71</v>
      </c>
      <c r="D21" t="s">
        <v>20</v>
      </c>
      <c r="E21" t="s">
        <v>41</v>
      </c>
      <c r="F21">
        <v>2016</v>
      </c>
      <c r="G21" t="s">
        <v>126</v>
      </c>
      <c r="H21">
        <v>135</v>
      </c>
      <c r="I21">
        <v>7.4</v>
      </c>
      <c r="J21">
        <v>222942</v>
      </c>
      <c r="K21">
        <v>369.48</v>
      </c>
      <c r="L21">
        <v>124.69</v>
      </c>
      <c r="M21" t="s">
        <v>78</v>
      </c>
      <c r="N21" t="s">
        <v>34</v>
      </c>
      <c r="O21" t="s">
        <v>127</v>
      </c>
      <c r="P21" t="s">
        <v>45</v>
      </c>
      <c r="Q21" t="s">
        <v>36</v>
      </c>
    </row>
    <row r="22" spans="1:17" x14ac:dyDescent="0.3">
      <c r="A22" t="s">
        <v>128</v>
      </c>
      <c r="B22" t="s">
        <v>129</v>
      </c>
      <c r="C22" t="s">
        <v>130</v>
      </c>
      <c r="D22" t="s">
        <v>81</v>
      </c>
      <c r="E22" t="s">
        <v>21</v>
      </c>
      <c r="F22">
        <v>2016</v>
      </c>
      <c r="G22" t="s">
        <v>126</v>
      </c>
      <c r="H22">
        <v>113</v>
      </c>
      <c r="I22">
        <v>7.2</v>
      </c>
      <c r="J22">
        <v>679894</v>
      </c>
      <c r="K22">
        <v>100.48</v>
      </c>
      <c r="L22">
        <v>38.950000000000003</v>
      </c>
      <c r="M22" t="s">
        <v>42</v>
      </c>
      <c r="N22" t="s">
        <v>43</v>
      </c>
      <c r="O22" t="s">
        <v>53</v>
      </c>
      <c r="P22" t="s">
        <v>26</v>
      </c>
      <c r="Q22" t="s">
        <v>68</v>
      </c>
    </row>
    <row r="23" spans="1:17" x14ac:dyDescent="0.3">
      <c r="A23" t="s">
        <v>131</v>
      </c>
      <c r="B23" t="s">
        <v>132</v>
      </c>
      <c r="C23" t="s">
        <v>39</v>
      </c>
      <c r="D23" t="s">
        <v>20</v>
      </c>
      <c r="E23" t="s">
        <v>49</v>
      </c>
      <c r="F23">
        <v>2019</v>
      </c>
      <c r="G23" t="s">
        <v>113</v>
      </c>
      <c r="H23">
        <v>111</v>
      </c>
      <c r="I23">
        <v>4.5</v>
      </c>
      <c r="J23">
        <v>377015</v>
      </c>
      <c r="K23">
        <v>703.75</v>
      </c>
      <c r="L23">
        <v>220.46</v>
      </c>
      <c r="M23" t="s">
        <v>23</v>
      </c>
      <c r="N23" t="s">
        <v>133</v>
      </c>
      <c r="O23" t="s">
        <v>97</v>
      </c>
      <c r="P23" t="s">
        <v>26</v>
      </c>
      <c r="Q23" t="s">
        <v>68</v>
      </c>
    </row>
    <row r="24" spans="1:17" x14ac:dyDescent="0.3">
      <c r="A24" t="s">
        <v>134</v>
      </c>
      <c r="B24" t="s">
        <v>135</v>
      </c>
      <c r="C24" t="s">
        <v>39</v>
      </c>
      <c r="D24" t="s">
        <v>64</v>
      </c>
      <c r="E24" t="s">
        <v>82</v>
      </c>
      <c r="F24">
        <v>2023</v>
      </c>
      <c r="G24" t="s">
        <v>113</v>
      </c>
      <c r="H24">
        <v>160</v>
      </c>
      <c r="I24">
        <v>7.3</v>
      </c>
      <c r="J24">
        <v>662559</v>
      </c>
      <c r="K24">
        <v>20.78</v>
      </c>
      <c r="L24">
        <v>16.600000000000001</v>
      </c>
      <c r="M24" t="s">
        <v>42</v>
      </c>
      <c r="N24" t="s">
        <v>119</v>
      </c>
      <c r="O24" t="s">
        <v>136</v>
      </c>
      <c r="P24" t="s">
        <v>26</v>
      </c>
      <c r="Q24" t="s">
        <v>60</v>
      </c>
    </row>
    <row r="25" spans="1:17" x14ac:dyDescent="0.3">
      <c r="A25" t="s">
        <v>137</v>
      </c>
      <c r="B25" t="s">
        <v>138</v>
      </c>
      <c r="C25" t="s">
        <v>30</v>
      </c>
      <c r="D25" t="s">
        <v>20</v>
      </c>
      <c r="E25" t="s">
        <v>139</v>
      </c>
      <c r="F25">
        <v>2017</v>
      </c>
      <c r="G25" t="s">
        <v>108</v>
      </c>
      <c r="H25">
        <v>179</v>
      </c>
      <c r="I25">
        <v>7.3</v>
      </c>
      <c r="J25">
        <v>159277</v>
      </c>
      <c r="K25">
        <v>542.32000000000005</v>
      </c>
      <c r="L25">
        <v>165.47</v>
      </c>
      <c r="M25" t="s">
        <v>23</v>
      </c>
      <c r="N25" t="s">
        <v>140</v>
      </c>
      <c r="O25" t="s">
        <v>141</v>
      </c>
      <c r="P25" t="s">
        <v>26</v>
      </c>
      <c r="Q25" t="s">
        <v>36</v>
      </c>
    </row>
    <row r="26" spans="1:17" x14ac:dyDescent="0.3">
      <c r="A26" t="s">
        <v>142</v>
      </c>
      <c r="B26" t="s">
        <v>143</v>
      </c>
      <c r="C26" t="s">
        <v>144</v>
      </c>
      <c r="D26" t="s">
        <v>20</v>
      </c>
      <c r="E26" t="s">
        <v>88</v>
      </c>
      <c r="F26">
        <v>2015</v>
      </c>
      <c r="G26" t="s">
        <v>50</v>
      </c>
      <c r="H26">
        <v>124</v>
      </c>
      <c r="I26">
        <v>7</v>
      </c>
      <c r="J26">
        <v>325353</v>
      </c>
      <c r="K26">
        <v>1325.22</v>
      </c>
      <c r="L26">
        <v>183.08</v>
      </c>
      <c r="M26" t="s">
        <v>78</v>
      </c>
      <c r="N26" t="s">
        <v>145</v>
      </c>
      <c r="O26" t="s">
        <v>120</v>
      </c>
      <c r="P26" t="s">
        <v>26</v>
      </c>
      <c r="Q26" t="s">
        <v>36</v>
      </c>
    </row>
    <row r="27" spans="1:17" x14ac:dyDescent="0.3">
      <c r="A27" t="s">
        <v>146</v>
      </c>
      <c r="B27" t="s">
        <v>147</v>
      </c>
      <c r="C27" t="s">
        <v>39</v>
      </c>
      <c r="D27" t="s">
        <v>72</v>
      </c>
      <c r="E27" t="s">
        <v>41</v>
      </c>
      <c r="F27">
        <v>2021</v>
      </c>
      <c r="G27" t="s">
        <v>96</v>
      </c>
      <c r="H27">
        <v>152</v>
      </c>
      <c r="I27">
        <v>7.8</v>
      </c>
      <c r="J27">
        <v>230874</v>
      </c>
      <c r="K27">
        <v>452.41</v>
      </c>
      <c r="L27">
        <v>181.86</v>
      </c>
      <c r="M27" t="s">
        <v>42</v>
      </c>
      <c r="N27" t="s">
        <v>73</v>
      </c>
      <c r="O27" t="s">
        <v>148</v>
      </c>
      <c r="P27" t="s">
        <v>26</v>
      </c>
      <c r="Q27" t="s">
        <v>60</v>
      </c>
    </row>
    <row r="28" spans="1:17" x14ac:dyDescent="0.3">
      <c r="A28" t="s">
        <v>149</v>
      </c>
      <c r="B28" t="s">
        <v>150</v>
      </c>
      <c r="C28" t="s">
        <v>19</v>
      </c>
      <c r="D28" t="s">
        <v>87</v>
      </c>
      <c r="E28" t="s">
        <v>41</v>
      </c>
      <c r="F28">
        <v>2017</v>
      </c>
      <c r="G28" t="s">
        <v>96</v>
      </c>
      <c r="H28">
        <v>129</v>
      </c>
      <c r="I28">
        <v>8.5</v>
      </c>
      <c r="J28">
        <v>190230</v>
      </c>
      <c r="K28">
        <v>1217.74</v>
      </c>
      <c r="L28">
        <v>209.07</v>
      </c>
      <c r="M28" t="s">
        <v>42</v>
      </c>
      <c r="N28" t="s">
        <v>83</v>
      </c>
      <c r="O28" t="s">
        <v>151</v>
      </c>
      <c r="P28" t="s">
        <v>45</v>
      </c>
      <c r="Q28" t="s">
        <v>152</v>
      </c>
    </row>
    <row r="29" spans="1:17" x14ac:dyDescent="0.3">
      <c r="A29" t="s">
        <v>153</v>
      </c>
      <c r="B29" t="s">
        <v>154</v>
      </c>
      <c r="C29" t="s">
        <v>63</v>
      </c>
      <c r="D29" t="s">
        <v>87</v>
      </c>
      <c r="E29" t="s">
        <v>82</v>
      </c>
      <c r="F29">
        <v>2018</v>
      </c>
      <c r="G29" t="s">
        <v>155</v>
      </c>
      <c r="H29">
        <v>147</v>
      </c>
      <c r="I29">
        <v>7.5</v>
      </c>
      <c r="J29">
        <v>933788</v>
      </c>
      <c r="K29">
        <v>820.1</v>
      </c>
      <c r="L29">
        <v>208.36</v>
      </c>
      <c r="M29" t="s">
        <v>42</v>
      </c>
      <c r="N29" t="s">
        <v>34</v>
      </c>
      <c r="O29" t="s">
        <v>127</v>
      </c>
      <c r="P29" t="s">
        <v>26</v>
      </c>
      <c r="Q29" t="s">
        <v>68</v>
      </c>
    </row>
    <row r="30" spans="1:17" x14ac:dyDescent="0.3">
      <c r="A30" t="s">
        <v>156</v>
      </c>
      <c r="B30" t="s">
        <v>157</v>
      </c>
      <c r="C30" t="s">
        <v>30</v>
      </c>
      <c r="D30" t="s">
        <v>20</v>
      </c>
      <c r="E30" t="s">
        <v>31</v>
      </c>
      <c r="F30">
        <v>2025</v>
      </c>
      <c r="G30" t="s">
        <v>108</v>
      </c>
      <c r="H30">
        <v>190</v>
      </c>
      <c r="I30">
        <v>6.9</v>
      </c>
      <c r="J30">
        <v>89298</v>
      </c>
      <c r="K30">
        <v>211.56</v>
      </c>
      <c r="L30">
        <v>104.8</v>
      </c>
      <c r="M30" t="s">
        <v>33</v>
      </c>
      <c r="N30" t="s">
        <v>119</v>
      </c>
      <c r="O30" t="s">
        <v>141</v>
      </c>
      <c r="P30" t="s">
        <v>26</v>
      </c>
      <c r="Q30" t="s">
        <v>152</v>
      </c>
    </row>
    <row r="31" spans="1:17" x14ac:dyDescent="0.3">
      <c r="A31" t="s">
        <v>158</v>
      </c>
      <c r="B31" t="s">
        <v>159</v>
      </c>
      <c r="C31" t="s">
        <v>86</v>
      </c>
      <c r="D31" t="s">
        <v>20</v>
      </c>
      <c r="E31" t="s">
        <v>82</v>
      </c>
      <c r="F31">
        <v>2022</v>
      </c>
      <c r="G31" t="s">
        <v>113</v>
      </c>
      <c r="H31">
        <v>157</v>
      </c>
      <c r="I31">
        <v>6.7</v>
      </c>
      <c r="J31">
        <v>196492</v>
      </c>
      <c r="K31">
        <v>406.17</v>
      </c>
      <c r="L31">
        <v>136.82</v>
      </c>
      <c r="M31" t="s">
        <v>33</v>
      </c>
      <c r="N31" t="s">
        <v>140</v>
      </c>
      <c r="O31" t="s">
        <v>127</v>
      </c>
      <c r="P31" t="s">
        <v>26</v>
      </c>
      <c r="Q31" t="s">
        <v>152</v>
      </c>
    </row>
    <row r="32" spans="1:17" x14ac:dyDescent="0.3">
      <c r="A32" t="s">
        <v>160</v>
      </c>
      <c r="B32" t="s">
        <v>161</v>
      </c>
      <c r="C32" t="s">
        <v>39</v>
      </c>
      <c r="D32" t="s">
        <v>57</v>
      </c>
      <c r="E32" t="s">
        <v>41</v>
      </c>
      <c r="F32">
        <v>2025</v>
      </c>
      <c r="G32" t="s">
        <v>22</v>
      </c>
      <c r="H32">
        <v>183</v>
      </c>
      <c r="I32">
        <v>6.3</v>
      </c>
      <c r="J32">
        <v>579055</v>
      </c>
      <c r="K32">
        <v>108.47</v>
      </c>
      <c r="L32">
        <v>40.22</v>
      </c>
      <c r="M32" t="s">
        <v>58</v>
      </c>
      <c r="N32" t="s">
        <v>145</v>
      </c>
      <c r="O32" t="s">
        <v>136</v>
      </c>
      <c r="P32" t="s">
        <v>26</v>
      </c>
      <c r="Q32" t="s">
        <v>152</v>
      </c>
    </row>
    <row r="33" spans="1:17" x14ac:dyDescent="0.3">
      <c r="A33" t="s">
        <v>162</v>
      </c>
      <c r="B33" t="s">
        <v>163</v>
      </c>
      <c r="C33" t="s">
        <v>19</v>
      </c>
      <c r="D33" t="s">
        <v>87</v>
      </c>
      <c r="E33" t="s">
        <v>41</v>
      </c>
      <c r="F33">
        <v>2020</v>
      </c>
      <c r="G33" t="s">
        <v>155</v>
      </c>
      <c r="H33">
        <v>180</v>
      </c>
      <c r="I33">
        <v>5.7</v>
      </c>
      <c r="J33">
        <v>731116</v>
      </c>
      <c r="K33">
        <v>853.69</v>
      </c>
      <c r="L33">
        <v>236.6</v>
      </c>
      <c r="M33" t="s">
        <v>42</v>
      </c>
      <c r="N33" t="s">
        <v>66</v>
      </c>
      <c r="O33" t="s">
        <v>25</v>
      </c>
      <c r="P33" t="s">
        <v>26</v>
      </c>
      <c r="Q33" t="s">
        <v>68</v>
      </c>
    </row>
    <row r="34" spans="1:17" x14ac:dyDescent="0.3">
      <c r="A34" t="s">
        <v>164</v>
      </c>
      <c r="B34" t="s">
        <v>165</v>
      </c>
      <c r="C34" t="s">
        <v>130</v>
      </c>
      <c r="D34" t="s">
        <v>20</v>
      </c>
      <c r="E34" t="s">
        <v>41</v>
      </c>
      <c r="F34">
        <v>2019</v>
      </c>
      <c r="G34" t="s">
        <v>93</v>
      </c>
      <c r="H34">
        <v>175</v>
      </c>
      <c r="I34">
        <v>6.3</v>
      </c>
      <c r="J34">
        <v>612811</v>
      </c>
      <c r="K34">
        <v>30.97</v>
      </c>
      <c r="L34">
        <v>8.0500000000000007</v>
      </c>
      <c r="M34" t="s">
        <v>23</v>
      </c>
      <c r="N34" t="s">
        <v>119</v>
      </c>
      <c r="O34" t="s">
        <v>166</v>
      </c>
      <c r="P34" t="s">
        <v>26</v>
      </c>
      <c r="Q34" t="s">
        <v>68</v>
      </c>
    </row>
    <row r="35" spans="1:17" x14ac:dyDescent="0.3">
      <c r="A35" t="s">
        <v>167</v>
      </c>
      <c r="B35" t="s">
        <v>168</v>
      </c>
      <c r="C35" t="s">
        <v>30</v>
      </c>
      <c r="D35" t="s">
        <v>20</v>
      </c>
      <c r="E35" t="s">
        <v>31</v>
      </c>
      <c r="F35">
        <v>2020</v>
      </c>
      <c r="G35" t="s">
        <v>77</v>
      </c>
      <c r="H35">
        <v>111</v>
      </c>
      <c r="I35">
        <v>6.6</v>
      </c>
      <c r="J35">
        <v>717551</v>
      </c>
      <c r="K35">
        <v>794.22</v>
      </c>
      <c r="L35">
        <v>162.71</v>
      </c>
      <c r="M35" t="s">
        <v>23</v>
      </c>
      <c r="N35" t="s">
        <v>101</v>
      </c>
      <c r="O35" t="s">
        <v>141</v>
      </c>
      <c r="P35" t="s">
        <v>26</v>
      </c>
      <c r="Q35" t="s">
        <v>27</v>
      </c>
    </row>
    <row r="36" spans="1:17" x14ac:dyDescent="0.3">
      <c r="A36" t="s">
        <v>169</v>
      </c>
      <c r="B36" t="s">
        <v>170</v>
      </c>
      <c r="C36" t="s">
        <v>86</v>
      </c>
      <c r="D36" t="s">
        <v>171</v>
      </c>
      <c r="E36" t="s">
        <v>82</v>
      </c>
      <c r="F36">
        <v>2017</v>
      </c>
      <c r="G36" t="s">
        <v>96</v>
      </c>
      <c r="H36">
        <v>184</v>
      </c>
      <c r="I36">
        <v>6.6</v>
      </c>
      <c r="J36">
        <v>537361</v>
      </c>
      <c r="K36">
        <v>116.4</v>
      </c>
      <c r="L36">
        <v>20.61</v>
      </c>
      <c r="M36" t="s">
        <v>172</v>
      </c>
      <c r="N36" t="s">
        <v>145</v>
      </c>
      <c r="O36" t="s">
        <v>141</v>
      </c>
      <c r="P36" t="s">
        <v>26</v>
      </c>
      <c r="Q36" t="s">
        <v>54</v>
      </c>
    </row>
    <row r="37" spans="1:17" x14ac:dyDescent="0.3">
      <c r="A37" t="s">
        <v>173</v>
      </c>
      <c r="B37" t="s">
        <v>174</v>
      </c>
      <c r="C37" t="s">
        <v>130</v>
      </c>
      <c r="D37" t="s">
        <v>20</v>
      </c>
      <c r="E37" t="s">
        <v>41</v>
      </c>
      <c r="F37">
        <v>2022</v>
      </c>
      <c r="G37" t="s">
        <v>32</v>
      </c>
      <c r="H37">
        <v>93</v>
      </c>
      <c r="I37">
        <v>7.8</v>
      </c>
      <c r="J37">
        <v>408688</v>
      </c>
      <c r="K37">
        <v>1576.52</v>
      </c>
      <c r="L37">
        <v>238.86</v>
      </c>
      <c r="M37" t="s">
        <v>23</v>
      </c>
      <c r="N37" t="s">
        <v>119</v>
      </c>
      <c r="O37" t="s">
        <v>151</v>
      </c>
      <c r="P37" t="s">
        <v>26</v>
      </c>
      <c r="Q37" t="s">
        <v>27</v>
      </c>
    </row>
    <row r="38" spans="1:17" x14ac:dyDescent="0.3">
      <c r="A38" t="s">
        <v>175</v>
      </c>
      <c r="B38" t="s">
        <v>176</v>
      </c>
      <c r="C38" t="s">
        <v>86</v>
      </c>
      <c r="D38" t="s">
        <v>20</v>
      </c>
      <c r="E38" t="s">
        <v>41</v>
      </c>
      <c r="F38">
        <v>2018</v>
      </c>
      <c r="G38" t="s">
        <v>50</v>
      </c>
      <c r="H38">
        <v>92</v>
      </c>
      <c r="I38">
        <v>7.2</v>
      </c>
      <c r="J38">
        <v>410186</v>
      </c>
      <c r="K38">
        <v>410.23</v>
      </c>
      <c r="L38">
        <v>67.77</v>
      </c>
      <c r="M38" t="s">
        <v>33</v>
      </c>
      <c r="N38" t="s">
        <v>140</v>
      </c>
      <c r="O38" t="s">
        <v>25</v>
      </c>
      <c r="P38" t="s">
        <v>45</v>
      </c>
      <c r="Q38" t="s">
        <v>123</v>
      </c>
    </row>
    <row r="39" spans="1:17" x14ac:dyDescent="0.3">
      <c r="A39" t="s">
        <v>177</v>
      </c>
      <c r="B39" t="s">
        <v>178</v>
      </c>
      <c r="C39" t="s">
        <v>48</v>
      </c>
      <c r="D39" t="s">
        <v>57</v>
      </c>
      <c r="E39" t="s">
        <v>41</v>
      </c>
      <c r="F39">
        <v>2019</v>
      </c>
      <c r="G39" t="s">
        <v>155</v>
      </c>
      <c r="H39">
        <v>169</v>
      </c>
      <c r="J39">
        <v>378517</v>
      </c>
      <c r="K39">
        <v>200.73</v>
      </c>
      <c r="L39">
        <v>216.34</v>
      </c>
      <c r="M39" t="s">
        <v>58</v>
      </c>
      <c r="N39" t="s">
        <v>179</v>
      </c>
      <c r="O39" t="s">
        <v>166</v>
      </c>
      <c r="P39" t="s">
        <v>45</v>
      </c>
      <c r="Q39" t="s">
        <v>123</v>
      </c>
    </row>
    <row r="40" spans="1:17" x14ac:dyDescent="0.3">
      <c r="A40" t="s">
        <v>180</v>
      </c>
      <c r="B40" t="s">
        <v>181</v>
      </c>
      <c r="C40" t="s">
        <v>39</v>
      </c>
      <c r="D40" t="s">
        <v>72</v>
      </c>
      <c r="E40" t="s">
        <v>41</v>
      </c>
      <c r="F40">
        <v>2021</v>
      </c>
      <c r="G40" t="s">
        <v>77</v>
      </c>
      <c r="H40">
        <v>131</v>
      </c>
      <c r="I40">
        <v>7.3</v>
      </c>
      <c r="J40">
        <v>324041</v>
      </c>
      <c r="K40">
        <v>662.63</v>
      </c>
      <c r="L40">
        <v>112.29</v>
      </c>
      <c r="M40" t="s">
        <v>42</v>
      </c>
      <c r="N40" t="s">
        <v>133</v>
      </c>
      <c r="O40" t="s">
        <v>148</v>
      </c>
      <c r="P40" t="s">
        <v>26</v>
      </c>
      <c r="Q40" t="s">
        <v>27</v>
      </c>
    </row>
    <row r="41" spans="1:17" x14ac:dyDescent="0.3">
      <c r="A41" t="s">
        <v>182</v>
      </c>
      <c r="B41" t="s">
        <v>183</v>
      </c>
      <c r="C41" t="s">
        <v>86</v>
      </c>
      <c r="D41" t="s">
        <v>20</v>
      </c>
      <c r="E41" t="s">
        <v>31</v>
      </c>
      <c r="F41">
        <v>2017</v>
      </c>
      <c r="G41" t="s">
        <v>96</v>
      </c>
      <c r="H41">
        <v>131</v>
      </c>
      <c r="I41">
        <v>8.5</v>
      </c>
      <c r="J41">
        <v>746452</v>
      </c>
      <c r="K41">
        <v>171.55</v>
      </c>
      <c r="L41">
        <v>163.33000000000001</v>
      </c>
      <c r="M41" t="s">
        <v>78</v>
      </c>
      <c r="N41" t="s">
        <v>52</v>
      </c>
      <c r="O41" t="s">
        <v>127</v>
      </c>
      <c r="P41" t="s">
        <v>45</v>
      </c>
      <c r="Q41" t="s">
        <v>152</v>
      </c>
    </row>
    <row r="42" spans="1:17" x14ac:dyDescent="0.3">
      <c r="A42" t="s">
        <v>184</v>
      </c>
      <c r="B42" t="s">
        <v>185</v>
      </c>
      <c r="C42" t="s">
        <v>48</v>
      </c>
      <c r="D42" t="s">
        <v>81</v>
      </c>
      <c r="E42" t="s">
        <v>82</v>
      </c>
      <c r="F42">
        <v>2025</v>
      </c>
      <c r="G42" t="s">
        <v>93</v>
      </c>
      <c r="H42">
        <v>159</v>
      </c>
      <c r="I42">
        <v>7.1</v>
      </c>
      <c r="J42">
        <v>568450</v>
      </c>
      <c r="K42">
        <v>369.97</v>
      </c>
      <c r="L42">
        <v>171.64</v>
      </c>
      <c r="M42" t="s">
        <v>42</v>
      </c>
      <c r="N42" t="s">
        <v>140</v>
      </c>
      <c r="O42" t="s">
        <v>97</v>
      </c>
      <c r="P42" t="s">
        <v>26</v>
      </c>
      <c r="Q42" t="s">
        <v>27</v>
      </c>
    </row>
    <row r="43" spans="1:17" x14ac:dyDescent="0.3">
      <c r="A43" t="s">
        <v>186</v>
      </c>
      <c r="B43" t="s">
        <v>187</v>
      </c>
      <c r="C43" t="s">
        <v>30</v>
      </c>
      <c r="D43" t="s">
        <v>20</v>
      </c>
      <c r="E43" t="s">
        <v>41</v>
      </c>
      <c r="F43">
        <v>2019</v>
      </c>
      <c r="G43" t="s">
        <v>77</v>
      </c>
      <c r="H43">
        <v>187</v>
      </c>
      <c r="I43">
        <v>6.8</v>
      </c>
      <c r="J43">
        <v>122331</v>
      </c>
      <c r="K43">
        <v>150.29</v>
      </c>
      <c r="L43">
        <v>25.56</v>
      </c>
      <c r="M43" t="s">
        <v>51</v>
      </c>
      <c r="N43" t="s">
        <v>73</v>
      </c>
      <c r="O43" t="s">
        <v>105</v>
      </c>
      <c r="P43" t="s">
        <v>26</v>
      </c>
      <c r="Q43" t="s">
        <v>54</v>
      </c>
    </row>
    <row r="44" spans="1:17" x14ac:dyDescent="0.3">
      <c r="A44" t="s">
        <v>188</v>
      </c>
      <c r="B44" t="s">
        <v>189</v>
      </c>
      <c r="C44" t="s">
        <v>86</v>
      </c>
      <c r="D44" t="s">
        <v>20</v>
      </c>
      <c r="E44" t="s">
        <v>92</v>
      </c>
      <c r="F44">
        <v>2024</v>
      </c>
      <c r="G44" t="s">
        <v>50</v>
      </c>
      <c r="H44">
        <v>187</v>
      </c>
      <c r="I44">
        <v>7.2</v>
      </c>
      <c r="J44">
        <v>237658</v>
      </c>
      <c r="K44">
        <v>1132.46</v>
      </c>
      <c r="L44">
        <v>156.88999999999999</v>
      </c>
      <c r="M44" t="s">
        <v>51</v>
      </c>
      <c r="N44" t="s">
        <v>83</v>
      </c>
      <c r="O44" t="s">
        <v>136</v>
      </c>
      <c r="P44" t="s">
        <v>26</v>
      </c>
      <c r="Q44" t="s">
        <v>152</v>
      </c>
    </row>
    <row r="45" spans="1:17" x14ac:dyDescent="0.3">
      <c r="A45" t="s">
        <v>190</v>
      </c>
      <c r="B45" t="s">
        <v>191</v>
      </c>
      <c r="C45" t="s">
        <v>48</v>
      </c>
      <c r="D45" t="s">
        <v>64</v>
      </c>
      <c r="E45" t="s">
        <v>192</v>
      </c>
      <c r="F45">
        <v>2025</v>
      </c>
      <c r="G45" t="s">
        <v>108</v>
      </c>
      <c r="H45">
        <v>135</v>
      </c>
      <c r="I45">
        <v>8</v>
      </c>
      <c r="J45">
        <v>484307</v>
      </c>
      <c r="K45">
        <v>1127.3599999999999</v>
      </c>
      <c r="L45">
        <v>193.74</v>
      </c>
      <c r="M45" t="s">
        <v>42</v>
      </c>
      <c r="N45" t="s">
        <v>101</v>
      </c>
      <c r="O45" t="s">
        <v>136</v>
      </c>
      <c r="P45" t="s">
        <v>26</v>
      </c>
      <c r="Q45" t="s">
        <v>54</v>
      </c>
    </row>
    <row r="46" spans="1:17" x14ac:dyDescent="0.3">
      <c r="A46" t="s">
        <v>193</v>
      </c>
      <c r="B46" t="s">
        <v>194</v>
      </c>
      <c r="C46" t="s">
        <v>39</v>
      </c>
      <c r="D46" t="s">
        <v>20</v>
      </c>
      <c r="E46" t="s">
        <v>92</v>
      </c>
      <c r="F46">
        <v>2016</v>
      </c>
      <c r="G46" t="s">
        <v>93</v>
      </c>
      <c r="H46">
        <v>179</v>
      </c>
      <c r="I46">
        <v>6.5</v>
      </c>
      <c r="J46">
        <v>664728</v>
      </c>
      <c r="K46">
        <v>343.8</v>
      </c>
      <c r="L46">
        <v>243.01</v>
      </c>
      <c r="M46" t="s">
        <v>23</v>
      </c>
      <c r="N46" t="s">
        <v>109</v>
      </c>
      <c r="O46" t="s">
        <v>25</v>
      </c>
      <c r="P46" t="s">
        <v>26</v>
      </c>
      <c r="Q46" t="s">
        <v>54</v>
      </c>
    </row>
    <row r="47" spans="1:17" x14ac:dyDescent="0.3">
      <c r="A47" t="s">
        <v>195</v>
      </c>
      <c r="B47" t="s">
        <v>196</v>
      </c>
      <c r="C47" t="s">
        <v>48</v>
      </c>
      <c r="D47" t="s">
        <v>57</v>
      </c>
      <c r="E47" t="s">
        <v>41</v>
      </c>
      <c r="F47">
        <v>2016</v>
      </c>
      <c r="G47" t="s">
        <v>22</v>
      </c>
      <c r="H47">
        <v>115</v>
      </c>
      <c r="I47">
        <v>7.8</v>
      </c>
      <c r="J47">
        <v>358156</v>
      </c>
      <c r="K47">
        <v>1314.33</v>
      </c>
      <c r="L47">
        <v>208.46</v>
      </c>
      <c r="M47" t="s">
        <v>58</v>
      </c>
      <c r="N47" t="s">
        <v>43</v>
      </c>
      <c r="O47" t="s">
        <v>59</v>
      </c>
      <c r="P47" t="s">
        <v>26</v>
      </c>
      <c r="Q47" t="s">
        <v>123</v>
      </c>
    </row>
    <row r="48" spans="1:17" x14ac:dyDescent="0.3">
      <c r="A48" t="s">
        <v>197</v>
      </c>
      <c r="B48" t="s">
        <v>198</v>
      </c>
      <c r="C48" t="s">
        <v>116</v>
      </c>
      <c r="D48" t="s">
        <v>20</v>
      </c>
      <c r="E48" t="s">
        <v>31</v>
      </c>
      <c r="F48">
        <v>2018</v>
      </c>
      <c r="G48" t="s">
        <v>32</v>
      </c>
      <c r="H48">
        <v>105</v>
      </c>
      <c r="I48">
        <v>6.6</v>
      </c>
      <c r="J48">
        <v>326645</v>
      </c>
      <c r="K48">
        <v>623.76</v>
      </c>
      <c r="L48">
        <v>138.61000000000001</v>
      </c>
      <c r="M48" t="s">
        <v>51</v>
      </c>
      <c r="N48" t="s">
        <v>179</v>
      </c>
      <c r="O48" t="s">
        <v>199</v>
      </c>
      <c r="P48" t="s">
        <v>26</v>
      </c>
      <c r="Q48" t="s">
        <v>152</v>
      </c>
    </row>
    <row r="49" spans="1:17" x14ac:dyDescent="0.3">
      <c r="A49" t="s">
        <v>200</v>
      </c>
      <c r="B49" t="s">
        <v>201</v>
      </c>
      <c r="C49" t="s">
        <v>144</v>
      </c>
      <c r="D49" t="s">
        <v>20</v>
      </c>
      <c r="E49" t="s">
        <v>88</v>
      </c>
      <c r="F49">
        <v>2018</v>
      </c>
      <c r="G49" t="s">
        <v>93</v>
      </c>
      <c r="H49">
        <v>166</v>
      </c>
      <c r="I49">
        <v>7.1</v>
      </c>
      <c r="J49">
        <v>251675</v>
      </c>
      <c r="K49">
        <v>1147.58</v>
      </c>
      <c r="L49">
        <v>234.65</v>
      </c>
      <c r="M49" t="s">
        <v>51</v>
      </c>
      <c r="N49" t="s">
        <v>83</v>
      </c>
      <c r="O49" t="s">
        <v>120</v>
      </c>
      <c r="P49" t="s">
        <v>26</v>
      </c>
      <c r="Q49" t="s">
        <v>60</v>
      </c>
    </row>
    <row r="50" spans="1:17" x14ac:dyDescent="0.3">
      <c r="A50" t="s">
        <v>202</v>
      </c>
      <c r="B50" t="s">
        <v>203</v>
      </c>
      <c r="C50" t="s">
        <v>39</v>
      </c>
      <c r="D50" t="s">
        <v>40</v>
      </c>
      <c r="E50" t="s">
        <v>88</v>
      </c>
      <c r="F50">
        <v>2017</v>
      </c>
      <c r="G50" t="s">
        <v>32</v>
      </c>
      <c r="H50">
        <v>158</v>
      </c>
      <c r="I50">
        <v>7.5</v>
      </c>
      <c r="J50">
        <v>605001</v>
      </c>
      <c r="K50">
        <v>722.11</v>
      </c>
      <c r="L50">
        <v>119.22</v>
      </c>
      <c r="M50" t="s">
        <v>42</v>
      </c>
      <c r="N50" t="s">
        <v>179</v>
      </c>
      <c r="O50" t="s">
        <v>199</v>
      </c>
      <c r="P50" t="s">
        <v>26</v>
      </c>
      <c r="Q50" t="s">
        <v>123</v>
      </c>
    </row>
    <row r="51" spans="1:17" x14ac:dyDescent="0.3">
      <c r="A51" t="s">
        <v>204</v>
      </c>
      <c r="B51" t="s">
        <v>205</v>
      </c>
      <c r="C51" t="s">
        <v>30</v>
      </c>
      <c r="D51" t="s">
        <v>20</v>
      </c>
      <c r="E51" t="s">
        <v>41</v>
      </c>
      <c r="F51">
        <v>2021</v>
      </c>
      <c r="G51" t="s">
        <v>96</v>
      </c>
      <c r="H51">
        <v>160</v>
      </c>
      <c r="I51">
        <v>6.5</v>
      </c>
      <c r="J51">
        <v>137857</v>
      </c>
      <c r="K51">
        <v>154.75</v>
      </c>
      <c r="L51">
        <v>60.72</v>
      </c>
      <c r="M51" t="s">
        <v>78</v>
      </c>
      <c r="N51" t="s">
        <v>66</v>
      </c>
      <c r="O51" t="s">
        <v>166</v>
      </c>
      <c r="P51" t="s">
        <v>26</v>
      </c>
      <c r="Q51" t="s">
        <v>54</v>
      </c>
    </row>
    <row r="52" spans="1:17" x14ac:dyDescent="0.3">
      <c r="A52" t="s">
        <v>206</v>
      </c>
      <c r="B52" t="s">
        <v>207</v>
      </c>
      <c r="C52" t="s">
        <v>63</v>
      </c>
      <c r="D52" t="s">
        <v>171</v>
      </c>
      <c r="E52" t="s">
        <v>208</v>
      </c>
      <c r="F52">
        <v>2015</v>
      </c>
      <c r="G52" t="s">
        <v>96</v>
      </c>
      <c r="H52">
        <v>172</v>
      </c>
      <c r="I52">
        <v>8.6</v>
      </c>
      <c r="J52">
        <v>591682</v>
      </c>
      <c r="K52">
        <v>330.7</v>
      </c>
      <c r="L52">
        <v>165.21</v>
      </c>
      <c r="M52" t="s">
        <v>172</v>
      </c>
      <c r="N52" t="s">
        <v>73</v>
      </c>
      <c r="O52" t="s">
        <v>151</v>
      </c>
      <c r="P52" t="s">
        <v>45</v>
      </c>
      <c r="Q52" t="s">
        <v>36</v>
      </c>
    </row>
    <row r="53" spans="1:17" x14ac:dyDescent="0.3">
      <c r="A53" t="s">
        <v>209</v>
      </c>
      <c r="B53" t="s">
        <v>210</v>
      </c>
      <c r="C53" t="s">
        <v>63</v>
      </c>
      <c r="D53" t="s">
        <v>211</v>
      </c>
      <c r="E53" t="s">
        <v>208</v>
      </c>
      <c r="F53">
        <v>2015</v>
      </c>
      <c r="G53" t="s">
        <v>108</v>
      </c>
      <c r="H53">
        <v>150</v>
      </c>
      <c r="I53">
        <v>6.7</v>
      </c>
      <c r="J53">
        <v>178515</v>
      </c>
      <c r="K53">
        <v>543.04999999999995</v>
      </c>
      <c r="L53">
        <v>169.16</v>
      </c>
      <c r="M53" t="s">
        <v>212</v>
      </c>
      <c r="N53" t="s">
        <v>133</v>
      </c>
      <c r="O53" t="s">
        <v>148</v>
      </c>
      <c r="P53" t="s">
        <v>26</v>
      </c>
      <c r="Q53" t="s">
        <v>68</v>
      </c>
    </row>
    <row r="54" spans="1:17" x14ac:dyDescent="0.3">
      <c r="A54" t="s">
        <v>213</v>
      </c>
      <c r="B54" t="s">
        <v>214</v>
      </c>
      <c r="C54" t="s">
        <v>71</v>
      </c>
      <c r="D54" t="s">
        <v>215</v>
      </c>
      <c r="E54" t="s">
        <v>88</v>
      </c>
      <c r="F54">
        <v>2023</v>
      </c>
      <c r="G54" t="s">
        <v>108</v>
      </c>
      <c r="H54">
        <v>127</v>
      </c>
      <c r="I54">
        <v>7.1</v>
      </c>
      <c r="J54">
        <v>912746</v>
      </c>
      <c r="K54">
        <v>173.76</v>
      </c>
      <c r="L54">
        <v>26.89</v>
      </c>
      <c r="M54" t="s">
        <v>216</v>
      </c>
      <c r="N54" t="s">
        <v>101</v>
      </c>
      <c r="O54" t="s">
        <v>59</v>
      </c>
      <c r="P54" t="s">
        <v>26</v>
      </c>
      <c r="Q54" t="s">
        <v>123</v>
      </c>
    </row>
    <row r="55" spans="1:17" x14ac:dyDescent="0.3">
      <c r="A55" t="s">
        <v>217</v>
      </c>
      <c r="B55" t="s">
        <v>218</v>
      </c>
      <c r="C55" t="s">
        <v>39</v>
      </c>
      <c r="D55" t="s">
        <v>20</v>
      </c>
      <c r="E55" t="s">
        <v>49</v>
      </c>
      <c r="F55">
        <v>2018</v>
      </c>
      <c r="G55" t="s">
        <v>77</v>
      </c>
      <c r="H55">
        <v>148</v>
      </c>
      <c r="I55">
        <v>5.9</v>
      </c>
      <c r="J55">
        <v>356832</v>
      </c>
      <c r="K55">
        <v>121.59</v>
      </c>
      <c r="L55">
        <v>43.32</v>
      </c>
      <c r="M55" t="s">
        <v>33</v>
      </c>
      <c r="N55" t="s">
        <v>179</v>
      </c>
      <c r="O55" t="s">
        <v>67</v>
      </c>
      <c r="P55" t="s">
        <v>26</v>
      </c>
      <c r="Q55" t="s">
        <v>68</v>
      </c>
    </row>
    <row r="56" spans="1:17" x14ac:dyDescent="0.3">
      <c r="A56" t="s">
        <v>219</v>
      </c>
      <c r="B56" t="s">
        <v>220</v>
      </c>
      <c r="C56" t="s">
        <v>39</v>
      </c>
      <c r="D56" t="s">
        <v>20</v>
      </c>
      <c r="E56" t="s">
        <v>31</v>
      </c>
      <c r="F56">
        <v>2024</v>
      </c>
      <c r="G56" t="s">
        <v>32</v>
      </c>
      <c r="H56">
        <v>170</v>
      </c>
      <c r="I56">
        <v>8.1999999999999993</v>
      </c>
      <c r="J56">
        <v>586797</v>
      </c>
      <c r="K56">
        <v>122.78</v>
      </c>
      <c r="L56">
        <v>55.82</v>
      </c>
      <c r="M56" t="s">
        <v>78</v>
      </c>
      <c r="N56" t="s">
        <v>140</v>
      </c>
      <c r="O56" t="s">
        <v>35</v>
      </c>
      <c r="P56" t="s">
        <v>26</v>
      </c>
      <c r="Q56" t="s">
        <v>36</v>
      </c>
    </row>
    <row r="57" spans="1:17" x14ac:dyDescent="0.3">
      <c r="A57" t="s">
        <v>221</v>
      </c>
      <c r="B57" t="s">
        <v>222</v>
      </c>
      <c r="C57" t="s">
        <v>30</v>
      </c>
      <c r="D57" t="s">
        <v>20</v>
      </c>
      <c r="E57" t="s">
        <v>31</v>
      </c>
      <c r="F57">
        <v>2018</v>
      </c>
      <c r="G57" t="s">
        <v>155</v>
      </c>
      <c r="H57">
        <v>108</v>
      </c>
      <c r="I57">
        <v>8.6</v>
      </c>
      <c r="J57">
        <v>802634</v>
      </c>
      <c r="K57">
        <v>148.63999999999999</v>
      </c>
      <c r="L57">
        <v>25.44</v>
      </c>
      <c r="M57" t="s">
        <v>78</v>
      </c>
      <c r="N57" t="s">
        <v>119</v>
      </c>
      <c r="O57" t="s">
        <v>136</v>
      </c>
      <c r="P57" t="s">
        <v>26</v>
      </c>
      <c r="Q57" t="s">
        <v>54</v>
      </c>
    </row>
    <row r="58" spans="1:17" x14ac:dyDescent="0.3">
      <c r="A58" t="s">
        <v>182</v>
      </c>
      <c r="B58" t="s">
        <v>183</v>
      </c>
      <c r="C58" t="s">
        <v>86</v>
      </c>
      <c r="D58" t="s">
        <v>20</v>
      </c>
      <c r="E58" t="s">
        <v>31</v>
      </c>
      <c r="F58">
        <v>2017</v>
      </c>
      <c r="G58" t="s">
        <v>96</v>
      </c>
      <c r="H58">
        <v>131</v>
      </c>
      <c r="I58">
        <v>8.5</v>
      </c>
      <c r="J58">
        <v>746452</v>
      </c>
      <c r="K58">
        <v>171.55</v>
      </c>
      <c r="L58">
        <v>163.33000000000001</v>
      </c>
      <c r="M58" t="s">
        <v>78</v>
      </c>
      <c r="N58" t="s">
        <v>52</v>
      </c>
      <c r="O58" t="s">
        <v>127</v>
      </c>
      <c r="P58" t="s">
        <v>45</v>
      </c>
      <c r="Q58" t="s">
        <v>152</v>
      </c>
    </row>
    <row r="59" spans="1:17" x14ac:dyDescent="0.3">
      <c r="A59" t="s">
        <v>223</v>
      </c>
      <c r="B59" t="s">
        <v>224</v>
      </c>
      <c r="C59" t="s">
        <v>19</v>
      </c>
      <c r="D59" t="s">
        <v>20</v>
      </c>
      <c r="E59" t="s">
        <v>21</v>
      </c>
      <c r="F59">
        <v>2021</v>
      </c>
      <c r="G59" t="s">
        <v>155</v>
      </c>
      <c r="H59">
        <v>102</v>
      </c>
      <c r="I59">
        <v>6.3</v>
      </c>
      <c r="J59">
        <v>377501</v>
      </c>
      <c r="K59">
        <v>358.14</v>
      </c>
      <c r="L59">
        <v>188.03</v>
      </c>
      <c r="M59" t="s">
        <v>33</v>
      </c>
      <c r="N59" t="s">
        <v>73</v>
      </c>
      <c r="O59" t="s">
        <v>141</v>
      </c>
      <c r="P59" t="s">
        <v>26</v>
      </c>
      <c r="Q59" t="s">
        <v>123</v>
      </c>
    </row>
    <row r="60" spans="1:17" x14ac:dyDescent="0.3">
      <c r="A60" t="s">
        <v>225</v>
      </c>
      <c r="B60" t="s">
        <v>226</v>
      </c>
      <c r="C60" t="s">
        <v>39</v>
      </c>
      <c r="D60" t="s">
        <v>171</v>
      </c>
      <c r="E60" t="s">
        <v>31</v>
      </c>
      <c r="F60">
        <v>2016</v>
      </c>
      <c r="G60" t="s">
        <v>100</v>
      </c>
      <c r="H60">
        <v>115</v>
      </c>
      <c r="I60">
        <v>6.8</v>
      </c>
      <c r="J60">
        <v>316579</v>
      </c>
      <c r="K60">
        <v>77.25</v>
      </c>
      <c r="L60">
        <v>32.22</v>
      </c>
      <c r="M60" t="s">
        <v>172</v>
      </c>
      <c r="N60" t="s">
        <v>43</v>
      </c>
      <c r="O60" t="s">
        <v>199</v>
      </c>
      <c r="P60" t="s">
        <v>26</v>
      </c>
      <c r="Q60" t="s">
        <v>60</v>
      </c>
    </row>
    <row r="61" spans="1:17" x14ac:dyDescent="0.3">
      <c r="A61" t="s">
        <v>227</v>
      </c>
      <c r="B61" t="s">
        <v>228</v>
      </c>
      <c r="C61" t="s">
        <v>19</v>
      </c>
      <c r="D61" t="s">
        <v>40</v>
      </c>
      <c r="E61" t="s">
        <v>31</v>
      </c>
      <c r="F61">
        <v>2021</v>
      </c>
      <c r="G61" t="s">
        <v>32</v>
      </c>
      <c r="H61">
        <v>132</v>
      </c>
      <c r="I61">
        <v>6.9</v>
      </c>
      <c r="J61">
        <v>667844</v>
      </c>
      <c r="K61">
        <v>69.510000000000005</v>
      </c>
      <c r="L61">
        <v>62.65</v>
      </c>
      <c r="M61" t="s">
        <v>42</v>
      </c>
      <c r="N61" t="s">
        <v>119</v>
      </c>
      <c r="O61" t="s">
        <v>127</v>
      </c>
      <c r="P61" t="s">
        <v>26</v>
      </c>
      <c r="Q61" t="s">
        <v>68</v>
      </c>
    </row>
    <row r="62" spans="1:17" x14ac:dyDescent="0.3">
      <c r="A62" t="s">
        <v>229</v>
      </c>
      <c r="B62" t="s">
        <v>230</v>
      </c>
      <c r="C62" t="s">
        <v>19</v>
      </c>
      <c r="D62" t="s">
        <v>57</v>
      </c>
      <c r="E62" t="s">
        <v>208</v>
      </c>
      <c r="F62">
        <v>2020</v>
      </c>
      <c r="G62" t="s">
        <v>100</v>
      </c>
      <c r="H62">
        <v>159</v>
      </c>
      <c r="I62">
        <v>8.6</v>
      </c>
      <c r="J62">
        <v>309134</v>
      </c>
      <c r="K62">
        <v>185.94</v>
      </c>
      <c r="L62">
        <v>117.01</v>
      </c>
      <c r="M62" t="s">
        <v>58</v>
      </c>
      <c r="N62" t="s">
        <v>119</v>
      </c>
      <c r="O62" t="s">
        <v>148</v>
      </c>
      <c r="P62" t="s">
        <v>26</v>
      </c>
      <c r="Q62" t="s">
        <v>36</v>
      </c>
    </row>
    <row r="63" spans="1:17" x14ac:dyDescent="0.3">
      <c r="A63" t="s">
        <v>231</v>
      </c>
      <c r="B63" t="s">
        <v>232</v>
      </c>
      <c r="C63" t="s">
        <v>30</v>
      </c>
      <c r="D63" t="s">
        <v>20</v>
      </c>
      <c r="E63" t="s">
        <v>41</v>
      </c>
      <c r="F63">
        <v>2019</v>
      </c>
      <c r="G63" t="s">
        <v>77</v>
      </c>
      <c r="H63">
        <v>119</v>
      </c>
      <c r="I63">
        <v>7.3</v>
      </c>
      <c r="J63">
        <v>426550</v>
      </c>
      <c r="K63">
        <v>281.41000000000003</v>
      </c>
      <c r="L63">
        <v>115.83</v>
      </c>
      <c r="M63" t="s">
        <v>23</v>
      </c>
      <c r="N63" t="s">
        <v>140</v>
      </c>
      <c r="O63" t="s">
        <v>148</v>
      </c>
      <c r="P63" t="s">
        <v>26</v>
      </c>
      <c r="Q63" t="s">
        <v>152</v>
      </c>
    </row>
    <row r="64" spans="1:17" x14ac:dyDescent="0.3">
      <c r="A64" t="s">
        <v>233</v>
      </c>
      <c r="B64" t="s">
        <v>234</v>
      </c>
      <c r="C64" t="s">
        <v>144</v>
      </c>
      <c r="D64" t="s">
        <v>20</v>
      </c>
      <c r="E64" t="s">
        <v>88</v>
      </c>
      <c r="F64">
        <v>2016</v>
      </c>
      <c r="G64" t="s">
        <v>126</v>
      </c>
      <c r="H64">
        <v>96</v>
      </c>
      <c r="I64">
        <v>6.1</v>
      </c>
      <c r="J64">
        <v>937415</v>
      </c>
      <c r="K64">
        <v>122.65</v>
      </c>
      <c r="L64">
        <v>121.72</v>
      </c>
      <c r="M64" t="s">
        <v>23</v>
      </c>
      <c r="N64" t="s">
        <v>83</v>
      </c>
      <c r="O64" t="s">
        <v>25</v>
      </c>
      <c r="P64" t="s">
        <v>26</v>
      </c>
      <c r="Q64" t="s">
        <v>152</v>
      </c>
    </row>
    <row r="65" spans="1:17" x14ac:dyDescent="0.3">
      <c r="A65" t="s">
        <v>235</v>
      </c>
      <c r="B65" t="s">
        <v>236</v>
      </c>
      <c r="C65" t="s">
        <v>71</v>
      </c>
      <c r="D65" t="s">
        <v>87</v>
      </c>
      <c r="E65" t="s">
        <v>31</v>
      </c>
      <c r="F65">
        <v>2022</v>
      </c>
      <c r="G65" t="s">
        <v>93</v>
      </c>
      <c r="H65">
        <v>179</v>
      </c>
      <c r="I65">
        <v>7.1</v>
      </c>
      <c r="J65">
        <v>800777</v>
      </c>
      <c r="K65">
        <v>1631.28</v>
      </c>
      <c r="L65">
        <v>228.33</v>
      </c>
      <c r="M65" t="s">
        <v>42</v>
      </c>
      <c r="N65" t="s">
        <v>145</v>
      </c>
      <c r="O65" t="s">
        <v>148</v>
      </c>
      <c r="P65" t="s">
        <v>26</v>
      </c>
      <c r="Q65" t="s">
        <v>54</v>
      </c>
    </row>
    <row r="66" spans="1:17" x14ac:dyDescent="0.3">
      <c r="A66" t="s">
        <v>237</v>
      </c>
      <c r="B66" t="s">
        <v>238</v>
      </c>
      <c r="C66" t="s">
        <v>112</v>
      </c>
      <c r="D66" t="s">
        <v>171</v>
      </c>
      <c r="E66" t="s">
        <v>88</v>
      </c>
      <c r="F66">
        <v>2015</v>
      </c>
      <c r="G66" t="s">
        <v>22</v>
      </c>
      <c r="H66">
        <v>187</v>
      </c>
      <c r="I66">
        <v>5.8</v>
      </c>
      <c r="J66">
        <v>117119</v>
      </c>
      <c r="K66">
        <v>1471.35</v>
      </c>
      <c r="L66">
        <v>243.72</v>
      </c>
      <c r="M66" t="s">
        <v>172</v>
      </c>
      <c r="N66" t="s">
        <v>119</v>
      </c>
      <c r="O66" t="s">
        <v>127</v>
      </c>
      <c r="P66" t="s">
        <v>26</v>
      </c>
      <c r="Q66" t="s">
        <v>60</v>
      </c>
    </row>
    <row r="67" spans="1:17" x14ac:dyDescent="0.3">
      <c r="A67" t="s">
        <v>239</v>
      </c>
      <c r="B67" t="s">
        <v>240</v>
      </c>
      <c r="C67" t="s">
        <v>130</v>
      </c>
      <c r="D67" t="s">
        <v>20</v>
      </c>
      <c r="E67" t="s">
        <v>41</v>
      </c>
      <c r="F67">
        <v>2021</v>
      </c>
      <c r="G67" t="s">
        <v>126</v>
      </c>
      <c r="H67">
        <v>147</v>
      </c>
      <c r="J67">
        <v>904881</v>
      </c>
      <c r="K67">
        <v>1185.75</v>
      </c>
      <c r="L67">
        <v>248.92</v>
      </c>
      <c r="M67" t="s">
        <v>33</v>
      </c>
      <c r="N67" t="s">
        <v>140</v>
      </c>
      <c r="O67" t="s">
        <v>35</v>
      </c>
      <c r="P67" t="s">
        <v>26</v>
      </c>
      <c r="Q67" t="s">
        <v>123</v>
      </c>
    </row>
    <row r="68" spans="1:17" x14ac:dyDescent="0.3">
      <c r="A68" t="s">
        <v>241</v>
      </c>
      <c r="B68" t="s">
        <v>242</v>
      </c>
      <c r="C68" t="s">
        <v>39</v>
      </c>
      <c r="D68" t="s">
        <v>81</v>
      </c>
      <c r="E68" t="s">
        <v>92</v>
      </c>
      <c r="F68">
        <v>2018</v>
      </c>
      <c r="G68" t="s">
        <v>155</v>
      </c>
      <c r="H68">
        <v>187</v>
      </c>
      <c r="I68">
        <v>7.4</v>
      </c>
      <c r="J68">
        <v>570865</v>
      </c>
      <c r="K68">
        <v>1479.26</v>
      </c>
      <c r="L68">
        <v>199.12</v>
      </c>
      <c r="M68" t="s">
        <v>42</v>
      </c>
      <c r="N68" t="s">
        <v>89</v>
      </c>
      <c r="O68" t="s">
        <v>127</v>
      </c>
      <c r="P68" t="s">
        <v>26</v>
      </c>
      <c r="Q68" t="s">
        <v>54</v>
      </c>
    </row>
    <row r="69" spans="1:17" x14ac:dyDescent="0.3">
      <c r="A69" t="s">
        <v>243</v>
      </c>
      <c r="B69" t="s">
        <v>244</v>
      </c>
      <c r="C69" t="s">
        <v>39</v>
      </c>
      <c r="D69" t="s">
        <v>40</v>
      </c>
      <c r="E69" t="s">
        <v>88</v>
      </c>
      <c r="F69">
        <v>2022</v>
      </c>
      <c r="G69" t="s">
        <v>65</v>
      </c>
      <c r="H69">
        <v>122</v>
      </c>
      <c r="I69">
        <v>6.8</v>
      </c>
      <c r="J69">
        <v>212183</v>
      </c>
      <c r="K69">
        <v>27.47</v>
      </c>
      <c r="L69">
        <v>12.86</v>
      </c>
      <c r="M69" t="s">
        <v>42</v>
      </c>
      <c r="N69" t="s">
        <v>34</v>
      </c>
      <c r="O69" t="s">
        <v>245</v>
      </c>
      <c r="P69" t="s">
        <v>45</v>
      </c>
      <c r="Q69" t="s">
        <v>27</v>
      </c>
    </row>
    <row r="70" spans="1:17" x14ac:dyDescent="0.3">
      <c r="A70" t="s">
        <v>246</v>
      </c>
      <c r="B70" t="s">
        <v>247</v>
      </c>
      <c r="C70" t="s">
        <v>112</v>
      </c>
      <c r="D70" t="s">
        <v>64</v>
      </c>
      <c r="E70" t="s">
        <v>88</v>
      </c>
      <c r="F70">
        <v>2016</v>
      </c>
      <c r="G70" t="s">
        <v>113</v>
      </c>
      <c r="H70">
        <v>171</v>
      </c>
      <c r="I70">
        <v>7.3</v>
      </c>
      <c r="J70">
        <v>877366</v>
      </c>
      <c r="K70">
        <v>1019.69</v>
      </c>
      <c r="L70">
        <v>215.41</v>
      </c>
      <c r="M70" t="s">
        <v>42</v>
      </c>
      <c r="N70" t="s">
        <v>52</v>
      </c>
      <c r="O70" t="s">
        <v>44</v>
      </c>
      <c r="P70" t="s">
        <v>45</v>
      </c>
      <c r="Q70" t="s">
        <v>152</v>
      </c>
    </row>
    <row r="71" spans="1:17" x14ac:dyDescent="0.3">
      <c r="A71" t="s">
        <v>248</v>
      </c>
      <c r="B71" t="s">
        <v>249</v>
      </c>
      <c r="C71" t="s">
        <v>63</v>
      </c>
      <c r="D71" t="s">
        <v>20</v>
      </c>
      <c r="E71" t="s">
        <v>31</v>
      </c>
      <c r="F71">
        <v>2023</v>
      </c>
      <c r="G71" t="s">
        <v>50</v>
      </c>
      <c r="H71">
        <v>118</v>
      </c>
      <c r="I71">
        <v>7.8</v>
      </c>
      <c r="J71">
        <v>613486</v>
      </c>
      <c r="K71">
        <v>457.2</v>
      </c>
      <c r="L71">
        <v>125.71</v>
      </c>
      <c r="M71" t="s">
        <v>33</v>
      </c>
      <c r="N71" t="s">
        <v>24</v>
      </c>
      <c r="O71" t="s">
        <v>67</v>
      </c>
      <c r="P71" t="s">
        <v>26</v>
      </c>
      <c r="Q71" t="s">
        <v>68</v>
      </c>
    </row>
    <row r="72" spans="1:17" x14ac:dyDescent="0.3">
      <c r="A72" t="s">
        <v>250</v>
      </c>
      <c r="B72" t="s">
        <v>251</v>
      </c>
      <c r="C72" t="s">
        <v>116</v>
      </c>
      <c r="D72" t="s">
        <v>20</v>
      </c>
      <c r="E72" t="s">
        <v>31</v>
      </c>
      <c r="F72">
        <v>2021</v>
      </c>
      <c r="G72" t="s">
        <v>93</v>
      </c>
      <c r="H72">
        <v>95</v>
      </c>
      <c r="I72">
        <v>8.3000000000000007</v>
      </c>
      <c r="J72">
        <v>144685</v>
      </c>
      <c r="K72">
        <v>578.39</v>
      </c>
      <c r="L72">
        <v>161.28</v>
      </c>
      <c r="M72" t="s">
        <v>33</v>
      </c>
      <c r="N72" t="s">
        <v>66</v>
      </c>
      <c r="O72" t="s">
        <v>25</v>
      </c>
      <c r="P72" t="s">
        <v>45</v>
      </c>
      <c r="Q72" t="s">
        <v>36</v>
      </c>
    </row>
    <row r="73" spans="1:17" x14ac:dyDescent="0.3">
      <c r="A73" t="s">
        <v>252</v>
      </c>
      <c r="B73" t="s">
        <v>253</v>
      </c>
      <c r="C73" t="s">
        <v>130</v>
      </c>
      <c r="D73" t="s">
        <v>20</v>
      </c>
      <c r="E73" t="s">
        <v>82</v>
      </c>
      <c r="F73">
        <v>2017</v>
      </c>
      <c r="G73" t="s">
        <v>155</v>
      </c>
      <c r="H73">
        <v>148</v>
      </c>
      <c r="I73">
        <v>6.3</v>
      </c>
      <c r="J73">
        <v>608416</v>
      </c>
      <c r="K73">
        <v>792.38</v>
      </c>
      <c r="L73">
        <v>113.33</v>
      </c>
      <c r="M73" t="s">
        <v>78</v>
      </c>
      <c r="N73" t="s">
        <v>119</v>
      </c>
      <c r="O73" t="s">
        <v>136</v>
      </c>
      <c r="P73" t="s">
        <v>26</v>
      </c>
      <c r="Q73" t="s">
        <v>27</v>
      </c>
    </row>
    <row r="74" spans="1:17" x14ac:dyDescent="0.3">
      <c r="A74" t="s">
        <v>254</v>
      </c>
      <c r="B74" t="s">
        <v>255</v>
      </c>
      <c r="C74" t="s">
        <v>48</v>
      </c>
      <c r="D74" t="s">
        <v>64</v>
      </c>
      <c r="E74" t="s">
        <v>41</v>
      </c>
      <c r="F74">
        <v>2016</v>
      </c>
      <c r="G74" t="s">
        <v>77</v>
      </c>
      <c r="H74">
        <v>162</v>
      </c>
      <c r="I74">
        <v>7.4</v>
      </c>
      <c r="J74">
        <v>416773</v>
      </c>
      <c r="K74">
        <v>723.65</v>
      </c>
      <c r="L74">
        <v>242.29</v>
      </c>
      <c r="M74" t="s">
        <v>42</v>
      </c>
      <c r="N74" t="s">
        <v>52</v>
      </c>
      <c r="O74" t="s">
        <v>59</v>
      </c>
      <c r="P74" t="s">
        <v>26</v>
      </c>
      <c r="Q74" t="s">
        <v>36</v>
      </c>
    </row>
    <row r="75" spans="1:17" x14ac:dyDescent="0.3">
      <c r="A75" t="s">
        <v>256</v>
      </c>
      <c r="B75" t="s">
        <v>257</v>
      </c>
      <c r="C75" t="s">
        <v>130</v>
      </c>
      <c r="D75" t="s">
        <v>20</v>
      </c>
      <c r="E75" t="s">
        <v>41</v>
      </c>
      <c r="F75">
        <v>2017</v>
      </c>
      <c r="G75" t="s">
        <v>32</v>
      </c>
      <c r="H75">
        <v>126</v>
      </c>
      <c r="I75">
        <v>7.8</v>
      </c>
      <c r="J75">
        <v>709883</v>
      </c>
      <c r="K75">
        <v>174.19</v>
      </c>
      <c r="L75">
        <v>99.39</v>
      </c>
      <c r="M75" t="s">
        <v>78</v>
      </c>
      <c r="N75" t="s">
        <v>145</v>
      </c>
      <c r="O75" t="s">
        <v>25</v>
      </c>
      <c r="P75" t="s">
        <v>26</v>
      </c>
      <c r="Q75" t="s">
        <v>27</v>
      </c>
    </row>
    <row r="76" spans="1:17" x14ac:dyDescent="0.3">
      <c r="A76" t="s">
        <v>258</v>
      </c>
      <c r="B76" t="s">
        <v>259</v>
      </c>
      <c r="C76" t="s">
        <v>48</v>
      </c>
      <c r="D76" t="s">
        <v>20</v>
      </c>
      <c r="E76" t="s">
        <v>92</v>
      </c>
      <c r="F76">
        <v>2023</v>
      </c>
      <c r="G76" t="s">
        <v>65</v>
      </c>
      <c r="H76">
        <v>165</v>
      </c>
      <c r="I76">
        <v>8.1999999999999993</v>
      </c>
      <c r="J76">
        <v>811959</v>
      </c>
      <c r="K76">
        <v>295.87</v>
      </c>
      <c r="L76">
        <v>54.87</v>
      </c>
      <c r="M76" t="s">
        <v>51</v>
      </c>
      <c r="N76" t="s">
        <v>179</v>
      </c>
      <c r="O76" t="s">
        <v>127</v>
      </c>
      <c r="P76" t="s">
        <v>26</v>
      </c>
      <c r="Q76" t="s">
        <v>123</v>
      </c>
    </row>
    <row r="77" spans="1:17" x14ac:dyDescent="0.3">
      <c r="A77" t="s">
        <v>260</v>
      </c>
      <c r="B77" t="s">
        <v>261</v>
      </c>
      <c r="C77" t="s">
        <v>19</v>
      </c>
      <c r="D77" t="s">
        <v>20</v>
      </c>
      <c r="E77" t="s">
        <v>41</v>
      </c>
      <c r="F77">
        <v>2016</v>
      </c>
      <c r="G77" t="s">
        <v>77</v>
      </c>
      <c r="H77">
        <v>88</v>
      </c>
      <c r="I77">
        <v>6.7</v>
      </c>
      <c r="J77">
        <v>582436</v>
      </c>
      <c r="K77">
        <v>83.97</v>
      </c>
      <c r="L77">
        <v>30.57</v>
      </c>
      <c r="M77" t="s">
        <v>23</v>
      </c>
      <c r="N77" t="s">
        <v>145</v>
      </c>
      <c r="O77" t="s">
        <v>74</v>
      </c>
      <c r="P77" t="s">
        <v>26</v>
      </c>
      <c r="Q77" t="s">
        <v>152</v>
      </c>
    </row>
    <row r="78" spans="1:17" x14ac:dyDescent="0.3">
      <c r="A78" t="s">
        <v>262</v>
      </c>
      <c r="B78" t="s">
        <v>263</v>
      </c>
      <c r="C78" t="s">
        <v>86</v>
      </c>
      <c r="D78" t="s">
        <v>87</v>
      </c>
      <c r="E78" t="s">
        <v>82</v>
      </c>
      <c r="F78">
        <v>2016</v>
      </c>
      <c r="G78" t="s">
        <v>113</v>
      </c>
      <c r="H78">
        <v>183</v>
      </c>
      <c r="I78">
        <v>8</v>
      </c>
      <c r="J78">
        <v>523107</v>
      </c>
      <c r="K78">
        <v>1145.83</v>
      </c>
      <c r="L78">
        <v>169.87</v>
      </c>
      <c r="M78" t="s">
        <v>42</v>
      </c>
      <c r="N78" t="s">
        <v>140</v>
      </c>
      <c r="O78" t="s">
        <v>199</v>
      </c>
      <c r="P78" t="s">
        <v>26</v>
      </c>
      <c r="Q78" t="s">
        <v>54</v>
      </c>
    </row>
    <row r="79" spans="1:17" x14ac:dyDescent="0.3">
      <c r="A79" t="s">
        <v>264</v>
      </c>
      <c r="B79" t="s">
        <v>265</v>
      </c>
      <c r="C79" t="s">
        <v>48</v>
      </c>
      <c r="D79" t="s">
        <v>20</v>
      </c>
      <c r="E79" t="s">
        <v>139</v>
      </c>
      <c r="F79">
        <v>2018</v>
      </c>
      <c r="G79" t="s">
        <v>126</v>
      </c>
      <c r="H79">
        <v>179</v>
      </c>
      <c r="I79">
        <v>6.9</v>
      </c>
      <c r="J79">
        <v>184368</v>
      </c>
      <c r="K79">
        <v>677.36</v>
      </c>
      <c r="L79">
        <v>105.64</v>
      </c>
      <c r="M79" t="s">
        <v>51</v>
      </c>
      <c r="N79" t="s">
        <v>119</v>
      </c>
      <c r="O79" t="s">
        <v>166</v>
      </c>
      <c r="P79" t="s">
        <v>26</v>
      </c>
      <c r="Q79" t="s">
        <v>36</v>
      </c>
    </row>
    <row r="80" spans="1:17" x14ac:dyDescent="0.3">
      <c r="A80" t="s">
        <v>266</v>
      </c>
      <c r="B80" t="s">
        <v>267</v>
      </c>
      <c r="C80" t="s">
        <v>19</v>
      </c>
      <c r="D80" t="s">
        <v>40</v>
      </c>
      <c r="E80" t="s">
        <v>41</v>
      </c>
      <c r="F80">
        <v>2021</v>
      </c>
      <c r="G80" t="s">
        <v>50</v>
      </c>
      <c r="H80">
        <v>114</v>
      </c>
      <c r="I80">
        <v>7.8</v>
      </c>
      <c r="J80">
        <v>48845</v>
      </c>
      <c r="K80">
        <v>1620.48</v>
      </c>
      <c r="L80">
        <v>239.6</v>
      </c>
      <c r="M80" t="s">
        <v>42</v>
      </c>
      <c r="N80" t="s">
        <v>145</v>
      </c>
      <c r="O80" t="s">
        <v>148</v>
      </c>
      <c r="P80" t="s">
        <v>26</v>
      </c>
      <c r="Q80" t="s">
        <v>123</v>
      </c>
    </row>
    <row r="81" spans="1:17" x14ac:dyDescent="0.3">
      <c r="A81" t="s">
        <v>268</v>
      </c>
      <c r="B81" t="s">
        <v>269</v>
      </c>
      <c r="C81" t="s">
        <v>130</v>
      </c>
      <c r="D81" t="s">
        <v>20</v>
      </c>
      <c r="E81" t="s">
        <v>41</v>
      </c>
      <c r="F81">
        <v>2020</v>
      </c>
      <c r="G81" t="s">
        <v>100</v>
      </c>
      <c r="H81">
        <v>124</v>
      </c>
      <c r="I81">
        <v>7</v>
      </c>
      <c r="J81">
        <v>730800</v>
      </c>
      <c r="K81">
        <v>1257.1300000000001</v>
      </c>
      <c r="L81">
        <v>171.84</v>
      </c>
      <c r="M81" t="s">
        <v>23</v>
      </c>
      <c r="N81" t="s">
        <v>133</v>
      </c>
      <c r="O81" t="s">
        <v>245</v>
      </c>
      <c r="P81" t="s">
        <v>26</v>
      </c>
      <c r="Q81" t="s">
        <v>68</v>
      </c>
    </row>
    <row r="82" spans="1:17" x14ac:dyDescent="0.3">
      <c r="A82" t="s">
        <v>270</v>
      </c>
      <c r="B82" t="s">
        <v>271</v>
      </c>
      <c r="C82" t="s">
        <v>19</v>
      </c>
      <c r="D82" t="s">
        <v>20</v>
      </c>
      <c r="E82" t="s">
        <v>21</v>
      </c>
      <c r="F82">
        <v>2022</v>
      </c>
      <c r="G82" t="s">
        <v>96</v>
      </c>
      <c r="H82">
        <v>148</v>
      </c>
      <c r="I82">
        <v>6.5</v>
      </c>
      <c r="J82">
        <v>653744</v>
      </c>
      <c r="L82">
        <v>234.86</v>
      </c>
      <c r="M82" t="s">
        <v>33</v>
      </c>
      <c r="N82" t="s">
        <v>73</v>
      </c>
      <c r="O82" t="s">
        <v>120</v>
      </c>
      <c r="P82" t="s">
        <v>26</v>
      </c>
      <c r="Q82" t="s">
        <v>123</v>
      </c>
    </row>
    <row r="83" spans="1:17" x14ac:dyDescent="0.3">
      <c r="A83" t="s">
        <v>272</v>
      </c>
      <c r="B83" t="s">
        <v>273</v>
      </c>
      <c r="C83" t="s">
        <v>104</v>
      </c>
      <c r="D83" t="s">
        <v>81</v>
      </c>
      <c r="E83" t="s">
        <v>88</v>
      </c>
      <c r="F83">
        <v>2024</v>
      </c>
      <c r="G83" t="s">
        <v>50</v>
      </c>
      <c r="H83">
        <v>160</v>
      </c>
      <c r="I83">
        <v>7.7</v>
      </c>
      <c r="J83">
        <v>480901</v>
      </c>
      <c r="K83">
        <v>969.75</v>
      </c>
      <c r="L83">
        <v>155.11000000000001</v>
      </c>
      <c r="M83" t="s">
        <v>42</v>
      </c>
      <c r="N83" t="s">
        <v>66</v>
      </c>
      <c r="O83" t="s">
        <v>148</v>
      </c>
      <c r="P83" t="s">
        <v>26</v>
      </c>
      <c r="Q83" t="s">
        <v>54</v>
      </c>
    </row>
    <row r="84" spans="1:17" x14ac:dyDescent="0.3">
      <c r="A84" t="s">
        <v>274</v>
      </c>
      <c r="B84" t="s">
        <v>275</v>
      </c>
      <c r="C84" t="s">
        <v>39</v>
      </c>
      <c r="D84" t="s">
        <v>81</v>
      </c>
      <c r="E84" t="s">
        <v>82</v>
      </c>
      <c r="F84">
        <v>2019</v>
      </c>
      <c r="G84" t="s">
        <v>93</v>
      </c>
      <c r="H84">
        <v>179</v>
      </c>
      <c r="I84">
        <v>6.8</v>
      </c>
      <c r="J84">
        <v>464098</v>
      </c>
      <c r="K84">
        <v>508.85</v>
      </c>
      <c r="L84">
        <v>138.82</v>
      </c>
      <c r="M84" t="s">
        <v>42</v>
      </c>
      <c r="N84" t="s">
        <v>43</v>
      </c>
      <c r="O84" t="s">
        <v>148</v>
      </c>
      <c r="P84" t="s">
        <v>26</v>
      </c>
      <c r="Q84" t="s">
        <v>60</v>
      </c>
    </row>
    <row r="85" spans="1:17" x14ac:dyDescent="0.3">
      <c r="A85" t="s">
        <v>276</v>
      </c>
      <c r="B85" t="s">
        <v>277</v>
      </c>
      <c r="C85" t="s">
        <v>39</v>
      </c>
      <c r="D85" t="s">
        <v>72</v>
      </c>
      <c r="E85" t="s">
        <v>41</v>
      </c>
      <c r="F85">
        <v>2022</v>
      </c>
      <c r="G85" t="s">
        <v>22</v>
      </c>
      <c r="H85">
        <v>187</v>
      </c>
      <c r="I85">
        <v>6.9</v>
      </c>
      <c r="J85">
        <v>523469</v>
      </c>
      <c r="K85">
        <v>180.07</v>
      </c>
      <c r="L85">
        <v>112.87</v>
      </c>
      <c r="M85" t="s">
        <v>42</v>
      </c>
      <c r="N85" t="s">
        <v>24</v>
      </c>
      <c r="O85" t="s">
        <v>35</v>
      </c>
      <c r="P85" t="s">
        <v>26</v>
      </c>
      <c r="Q85" t="s">
        <v>27</v>
      </c>
    </row>
    <row r="86" spans="1:17" x14ac:dyDescent="0.3">
      <c r="A86" t="s">
        <v>278</v>
      </c>
      <c r="B86" t="s">
        <v>279</v>
      </c>
      <c r="C86" t="s">
        <v>39</v>
      </c>
      <c r="D86" t="s">
        <v>81</v>
      </c>
      <c r="E86" t="s">
        <v>82</v>
      </c>
      <c r="F86">
        <v>2016</v>
      </c>
      <c r="G86" t="s">
        <v>22</v>
      </c>
      <c r="H86">
        <v>144</v>
      </c>
      <c r="I86">
        <v>7</v>
      </c>
      <c r="J86">
        <v>713945</v>
      </c>
      <c r="K86">
        <v>216.29</v>
      </c>
      <c r="L86">
        <v>130.31</v>
      </c>
      <c r="M86" t="s">
        <v>42</v>
      </c>
      <c r="N86" t="s">
        <v>52</v>
      </c>
      <c r="O86" t="s">
        <v>105</v>
      </c>
      <c r="P86" t="s">
        <v>26</v>
      </c>
      <c r="Q86" t="s">
        <v>60</v>
      </c>
    </row>
    <row r="87" spans="1:17" x14ac:dyDescent="0.3">
      <c r="A87" t="s">
        <v>280</v>
      </c>
      <c r="B87" t="s">
        <v>281</v>
      </c>
      <c r="C87" t="s">
        <v>116</v>
      </c>
      <c r="D87" t="s">
        <v>64</v>
      </c>
      <c r="E87" t="s">
        <v>41</v>
      </c>
      <c r="F87">
        <v>2018</v>
      </c>
      <c r="G87" t="s">
        <v>22</v>
      </c>
      <c r="H87">
        <v>136</v>
      </c>
      <c r="I87">
        <v>6.7</v>
      </c>
      <c r="J87">
        <v>427711</v>
      </c>
      <c r="K87">
        <v>579.44000000000005</v>
      </c>
      <c r="L87">
        <v>127.55</v>
      </c>
      <c r="M87" t="s">
        <v>42</v>
      </c>
      <c r="N87" t="s">
        <v>34</v>
      </c>
      <c r="O87" t="s">
        <v>199</v>
      </c>
      <c r="P87" t="s">
        <v>45</v>
      </c>
      <c r="Q87" t="s">
        <v>54</v>
      </c>
    </row>
    <row r="88" spans="1:17" x14ac:dyDescent="0.3">
      <c r="A88" t="s">
        <v>282</v>
      </c>
      <c r="B88" t="s">
        <v>283</v>
      </c>
      <c r="C88" t="s">
        <v>39</v>
      </c>
      <c r="D88" t="s">
        <v>40</v>
      </c>
      <c r="E88" t="s">
        <v>88</v>
      </c>
      <c r="F88">
        <v>2015</v>
      </c>
      <c r="G88" t="s">
        <v>100</v>
      </c>
      <c r="H88">
        <v>172</v>
      </c>
      <c r="I88">
        <v>8.6</v>
      </c>
      <c r="J88">
        <v>744447</v>
      </c>
      <c r="K88">
        <v>127.29</v>
      </c>
      <c r="L88">
        <v>90.74</v>
      </c>
      <c r="M88" t="s">
        <v>42</v>
      </c>
      <c r="N88" t="s">
        <v>52</v>
      </c>
      <c r="O88" t="s">
        <v>141</v>
      </c>
      <c r="P88" t="s">
        <v>26</v>
      </c>
      <c r="Q88" t="s">
        <v>27</v>
      </c>
    </row>
    <row r="89" spans="1:17" x14ac:dyDescent="0.3">
      <c r="A89" t="s">
        <v>284</v>
      </c>
      <c r="B89" t="s">
        <v>285</v>
      </c>
      <c r="C89" t="s">
        <v>86</v>
      </c>
      <c r="D89" t="s">
        <v>20</v>
      </c>
      <c r="E89" t="s">
        <v>82</v>
      </c>
      <c r="F89">
        <v>2018</v>
      </c>
      <c r="G89" t="s">
        <v>32</v>
      </c>
      <c r="H89">
        <v>159</v>
      </c>
      <c r="I89">
        <v>6.9</v>
      </c>
      <c r="J89">
        <v>513373</v>
      </c>
      <c r="K89">
        <v>103.59</v>
      </c>
      <c r="L89">
        <v>24.55</v>
      </c>
      <c r="M89" t="s">
        <v>51</v>
      </c>
      <c r="N89" t="s">
        <v>89</v>
      </c>
      <c r="O89" t="s">
        <v>105</v>
      </c>
      <c r="P89" t="s">
        <v>45</v>
      </c>
      <c r="Q89" t="s">
        <v>27</v>
      </c>
    </row>
    <row r="90" spans="1:17" x14ac:dyDescent="0.3">
      <c r="A90" t="s">
        <v>286</v>
      </c>
      <c r="B90" t="s">
        <v>287</v>
      </c>
      <c r="C90" t="s">
        <v>144</v>
      </c>
      <c r="D90" t="s">
        <v>20</v>
      </c>
      <c r="E90" t="s">
        <v>92</v>
      </c>
      <c r="F90">
        <v>2022</v>
      </c>
      <c r="G90" t="s">
        <v>93</v>
      </c>
      <c r="H90">
        <v>180</v>
      </c>
      <c r="I90">
        <v>7.6</v>
      </c>
      <c r="J90">
        <v>904142</v>
      </c>
      <c r="K90">
        <v>303.68</v>
      </c>
      <c r="L90">
        <v>119.72</v>
      </c>
      <c r="M90" t="s">
        <v>23</v>
      </c>
      <c r="N90" t="s">
        <v>119</v>
      </c>
      <c r="O90" t="s">
        <v>44</v>
      </c>
      <c r="P90" t="s">
        <v>45</v>
      </c>
      <c r="Q90" t="s">
        <v>27</v>
      </c>
    </row>
    <row r="91" spans="1:17" x14ac:dyDescent="0.3">
      <c r="A91" t="s">
        <v>288</v>
      </c>
      <c r="B91" t="s">
        <v>289</v>
      </c>
      <c r="C91" t="s">
        <v>19</v>
      </c>
      <c r="D91" t="s">
        <v>87</v>
      </c>
      <c r="E91" t="s">
        <v>41</v>
      </c>
      <c r="F91">
        <v>2015</v>
      </c>
      <c r="G91" t="s">
        <v>155</v>
      </c>
      <c r="H91">
        <v>168</v>
      </c>
      <c r="I91">
        <v>7.5</v>
      </c>
      <c r="J91">
        <v>422979</v>
      </c>
      <c r="K91">
        <v>1125.54</v>
      </c>
      <c r="L91">
        <v>182.6</v>
      </c>
      <c r="M91" t="s">
        <v>42</v>
      </c>
      <c r="N91" t="s">
        <v>179</v>
      </c>
      <c r="O91" t="s">
        <v>151</v>
      </c>
      <c r="P91" t="s">
        <v>26</v>
      </c>
      <c r="Q91" t="s">
        <v>60</v>
      </c>
    </row>
    <row r="92" spans="1:17" x14ac:dyDescent="0.3">
      <c r="A92" t="s">
        <v>290</v>
      </c>
      <c r="B92" t="s">
        <v>291</v>
      </c>
      <c r="C92" t="s">
        <v>39</v>
      </c>
      <c r="D92" t="s">
        <v>20</v>
      </c>
      <c r="E92" t="s">
        <v>41</v>
      </c>
      <c r="F92">
        <v>2021</v>
      </c>
      <c r="G92" t="s">
        <v>32</v>
      </c>
      <c r="H92">
        <v>186</v>
      </c>
      <c r="I92">
        <v>8.1999999999999993</v>
      </c>
      <c r="J92">
        <v>168466</v>
      </c>
      <c r="K92">
        <v>321.3</v>
      </c>
      <c r="L92">
        <v>95.91</v>
      </c>
      <c r="M92" t="s">
        <v>23</v>
      </c>
      <c r="N92" t="s">
        <v>66</v>
      </c>
      <c r="O92" t="s">
        <v>136</v>
      </c>
      <c r="P92" t="s">
        <v>45</v>
      </c>
      <c r="Q92" t="s">
        <v>68</v>
      </c>
    </row>
    <row r="93" spans="1:17" x14ac:dyDescent="0.3">
      <c r="A93" t="s">
        <v>292</v>
      </c>
      <c r="B93" t="s">
        <v>293</v>
      </c>
      <c r="C93" t="s">
        <v>112</v>
      </c>
      <c r="D93" t="s">
        <v>20</v>
      </c>
      <c r="E93" t="s">
        <v>41</v>
      </c>
      <c r="F93">
        <v>2019</v>
      </c>
      <c r="G93" t="s">
        <v>155</v>
      </c>
      <c r="H93">
        <v>111</v>
      </c>
      <c r="I93">
        <v>7</v>
      </c>
      <c r="J93">
        <v>290888</v>
      </c>
      <c r="K93">
        <v>801.01</v>
      </c>
      <c r="L93">
        <v>134</v>
      </c>
      <c r="M93" t="s">
        <v>51</v>
      </c>
      <c r="N93" t="s">
        <v>140</v>
      </c>
      <c r="O93" t="s">
        <v>105</v>
      </c>
      <c r="P93" t="s">
        <v>26</v>
      </c>
      <c r="Q93" t="s">
        <v>54</v>
      </c>
    </row>
    <row r="94" spans="1:17" x14ac:dyDescent="0.3">
      <c r="A94" t="s">
        <v>294</v>
      </c>
      <c r="B94" t="s">
        <v>295</v>
      </c>
      <c r="C94" t="s">
        <v>39</v>
      </c>
      <c r="D94" t="s">
        <v>81</v>
      </c>
      <c r="E94" t="s">
        <v>82</v>
      </c>
      <c r="F94">
        <v>2022</v>
      </c>
      <c r="G94" t="s">
        <v>155</v>
      </c>
      <c r="H94">
        <v>142</v>
      </c>
      <c r="I94">
        <v>7.6</v>
      </c>
      <c r="J94">
        <v>654912</v>
      </c>
      <c r="K94">
        <v>624.61</v>
      </c>
      <c r="L94">
        <v>202.34</v>
      </c>
      <c r="M94" t="s">
        <v>42</v>
      </c>
      <c r="N94" t="s">
        <v>179</v>
      </c>
      <c r="O94" t="s">
        <v>120</v>
      </c>
      <c r="P94" t="s">
        <v>26</v>
      </c>
      <c r="Q94" t="s">
        <v>123</v>
      </c>
    </row>
    <row r="95" spans="1:17" x14ac:dyDescent="0.3">
      <c r="A95" t="s">
        <v>296</v>
      </c>
      <c r="B95" t="s">
        <v>297</v>
      </c>
      <c r="C95" t="s">
        <v>86</v>
      </c>
      <c r="D95" t="s">
        <v>87</v>
      </c>
      <c r="E95" t="s">
        <v>82</v>
      </c>
      <c r="F95">
        <v>2016</v>
      </c>
      <c r="G95" t="s">
        <v>93</v>
      </c>
      <c r="H95">
        <v>120</v>
      </c>
      <c r="I95">
        <v>7.5</v>
      </c>
      <c r="J95">
        <v>158608</v>
      </c>
      <c r="K95">
        <v>939.2</v>
      </c>
      <c r="L95">
        <v>219</v>
      </c>
      <c r="M95" t="s">
        <v>42</v>
      </c>
      <c r="N95" t="s">
        <v>140</v>
      </c>
      <c r="O95" t="s">
        <v>25</v>
      </c>
      <c r="P95" t="s">
        <v>45</v>
      </c>
      <c r="Q95" t="s">
        <v>36</v>
      </c>
    </row>
    <row r="96" spans="1:17" x14ac:dyDescent="0.3">
      <c r="A96" t="s">
        <v>298</v>
      </c>
      <c r="B96" t="s">
        <v>299</v>
      </c>
      <c r="C96" t="s">
        <v>30</v>
      </c>
      <c r="D96" t="s">
        <v>20</v>
      </c>
      <c r="E96" t="s">
        <v>31</v>
      </c>
      <c r="F96">
        <v>2017</v>
      </c>
      <c r="G96" t="s">
        <v>32</v>
      </c>
      <c r="H96">
        <v>141</v>
      </c>
      <c r="I96">
        <v>7.9</v>
      </c>
      <c r="J96">
        <v>755340</v>
      </c>
      <c r="K96">
        <v>230</v>
      </c>
      <c r="L96">
        <v>60.91</v>
      </c>
      <c r="M96" t="s">
        <v>78</v>
      </c>
      <c r="N96" t="s">
        <v>52</v>
      </c>
      <c r="O96" t="s">
        <v>59</v>
      </c>
      <c r="P96" t="s">
        <v>26</v>
      </c>
      <c r="Q96" t="s">
        <v>60</v>
      </c>
    </row>
    <row r="97" spans="1:17" x14ac:dyDescent="0.3">
      <c r="A97" t="s">
        <v>300</v>
      </c>
      <c r="B97" t="s">
        <v>301</v>
      </c>
      <c r="C97" t="s">
        <v>39</v>
      </c>
      <c r="D97" t="s">
        <v>20</v>
      </c>
      <c r="E97" t="s">
        <v>31</v>
      </c>
      <c r="F97">
        <v>2022</v>
      </c>
      <c r="G97" t="s">
        <v>32</v>
      </c>
      <c r="H97">
        <v>111</v>
      </c>
      <c r="I97">
        <v>6.6</v>
      </c>
      <c r="J97">
        <v>727290</v>
      </c>
      <c r="K97">
        <v>124.1</v>
      </c>
      <c r="L97">
        <v>19.149999999999999</v>
      </c>
      <c r="M97" t="s">
        <v>33</v>
      </c>
      <c r="N97" t="s">
        <v>145</v>
      </c>
      <c r="O97" t="s">
        <v>67</v>
      </c>
      <c r="P97" t="s">
        <v>26</v>
      </c>
      <c r="Q97" t="s">
        <v>123</v>
      </c>
    </row>
    <row r="98" spans="1:17" x14ac:dyDescent="0.3">
      <c r="A98" t="s">
        <v>302</v>
      </c>
      <c r="B98" t="s">
        <v>303</v>
      </c>
      <c r="C98" t="s">
        <v>63</v>
      </c>
      <c r="D98" t="s">
        <v>64</v>
      </c>
      <c r="E98" t="s">
        <v>82</v>
      </c>
      <c r="F98">
        <v>2015</v>
      </c>
      <c r="G98" t="s">
        <v>65</v>
      </c>
      <c r="H98">
        <v>135</v>
      </c>
      <c r="I98">
        <v>7.5</v>
      </c>
      <c r="J98">
        <v>501096</v>
      </c>
      <c r="K98">
        <v>408.06</v>
      </c>
      <c r="L98">
        <v>116.12</v>
      </c>
      <c r="M98" t="s">
        <v>42</v>
      </c>
      <c r="N98" t="s">
        <v>140</v>
      </c>
      <c r="O98" t="s">
        <v>74</v>
      </c>
      <c r="P98" t="s">
        <v>26</v>
      </c>
      <c r="Q98" t="s">
        <v>68</v>
      </c>
    </row>
    <row r="99" spans="1:17" x14ac:dyDescent="0.3">
      <c r="A99" t="s">
        <v>304</v>
      </c>
      <c r="B99" t="s">
        <v>305</v>
      </c>
      <c r="C99" t="s">
        <v>39</v>
      </c>
      <c r="D99" t="s">
        <v>72</v>
      </c>
      <c r="E99" t="s">
        <v>192</v>
      </c>
      <c r="F99">
        <v>2019</v>
      </c>
      <c r="G99" t="s">
        <v>22</v>
      </c>
      <c r="H99">
        <v>104</v>
      </c>
      <c r="I99">
        <v>8.1999999999999993</v>
      </c>
      <c r="J99">
        <v>258524</v>
      </c>
      <c r="K99">
        <v>673.29</v>
      </c>
      <c r="L99">
        <v>162.53</v>
      </c>
      <c r="M99" t="s">
        <v>42</v>
      </c>
      <c r="N99" t="s">
        <v>73</v>
      </c>
      <c r="O99" t="s">
        <v>148</v>
      </c>
      <c r="P99" t="s">
        <v>26</v>
      </c>
      <c r="Q99" t="s">
        <v>27</v>
      </c>
    </row>
    <row r="100" spans="1:17" x14ac:dyDescent="0.3">
      <c r="A100" t="s">
        <v>306</v>
      </c>
      <c r="B100" t="s">
        <v>307</v>
      </c>
      <c r="C100" t="s">
        <v>86</v>
      </c>
      <c r="D100" t="s">
        <v>87</v>
      </c>
      <c r="E100" t="s">
        <v>82</v>
      </c>
      <c r="F100">
        <v>2015</v>
      </c>
      <c r="G100" t="s">
        <v>93</v>
      </c>
      <c r="H100">
        <v>176</v>
      </c>
      <c r="I100">
        <v>6.3</v>
      </c>
      <c r="J100">
        <v>294218</v>
      </c>
      <c r="K100">
        <v>174.8</v>
      </c>
      <c r="L100">
        <v>25.07</v>
      </c>
      <c r="M100" t="s">
        <v>42</v>
      </c>
      <c r="N100" t="s">
        <v>24</v>
      </c>
      <c r="O100" t="s">
        <v>74</v>
      </c>
      <c r="P100" t="s">
        <v>26</v>
      </c>
      <c r="Q100" t="s">
        <v>123</v>
      </c>
    </row>
    <row r="101" spans="1:17" x14ac:dyDescent="0.3">
      <c r="A101" t="s">
        <v>308</v>
      </c>
      <c r="B101" t="s">
        <v>309</v>
      </c>
      <c r="C101" t="s">
        <v>39</v>
      </c>
      <c r="D101" t="s">
        <v>40</v>
      </c>
      <c r="E101" t="s">
        <v>41</v>
      </c>
      <c r="F101">
        <v>2016</v>
      </c>
      <c r="G101" t="s">
        <v>65</v>
      </c>
      <c r="H101">
        <v>174</v>
      </c>
      <c r="I101">
        <v>7.5</v>
      </c>
      <c r="J101">
        <v>198164</v>
      </c>
      <c r="K101">
        <v>473.46</v>
      </c>
      <c r="L101">
        <v>215.03</v>
      </c>
      <c r="M101" t="s">
        <v>42</v>
      </c>
      <c r="N101" t="s">
        <v>145</v>
      </c>
      <c r="O101" t="s">
        <v>141</v>
      </c>
      <c r="P101" t="s">
        <v>26</v>
      </c>
      <c r="Q101" t="s">
        <v>68</v>
      </c>
    </row>
    <row r="102" spans="1:17" x14ac:dyDescent="0.3">
      <c r="A102" t="s">
        <v>310</v>
      </c>
      <c r="B102" t="s">
        <v>311</v>
      </c>
      <c r="C102" t="s">
        <v>130</v>
      </c>
      <c r="D102" t="s">
        <v>20</v>
      </c>
      <c r="E102" t="s">
        <v>49</v>
      </c>
      <c r="F102">
        <v>2017</v>
      </c>
      <c r="G102" t="s">
        <v>22</v>
      </c>
      <c r="H102">
        <v>180</v>
      </c>
      <c r="J102">
        <v>635963</v>
      </c>
      <c r="K102">
        <v>520.91</v>
      </c>
      <c r="L102">
        <v>94.66</v>
      </c>
      <c r="M102" t="s">
        <v>33</v>
      </c>
      <c r="N102" t="s">
        <v>52</v>
      </c>
      <c r="O102" t="s">
        <v>127</v>
      </c>
      <c r="P102" t="s">
        <v>26</v>
      </c>
      <c r="Q102" t="s">
        <v>68</v>
      </c>
    </row>
    <row r="103" spans="1:17" x14ac:dyDescent="0.3">
      <c r="A103" t="s">
        <v>312</v>
      </c>
      <c r="B103" t="s">
        <v>313</v>
      </c>
      <c r="C103" t="s">
        <v>48</v>
      </c>
      <c r="D103" t="s">
        <v>57</v>
      </c>
      <c r="E103" t="s">
        <v>41</v>
      </c>
      <c r="F103">
        <v>2018</v>
      </c>
      <c r="G103" t="s">
        <v>22</v>
      </c>
      <c r="H103">
        <v>142</v>
      </c>
      <c r="I103">
        <v>5.7</v>
      </c>
      <c r="J103">
        <v>929222</v>
      </c>
      <c r="K103">
        <v>255.33</v>
      </c>
      <c r="L103">
        <v>98.25</v>
      </c>
      <c r="M103" t="s">
        <v>58</v>
      </c>
      <c r="N103" t="s">
        <v>43</v>
      </c>
      <c r="O103" t="s">
        <v>25</v>
      </c>
      <c r="P103" t="s">
        <v>26</v>
      </c>
      <c r="Q103" t="s">
        <v>60</v>
      </c>
    </row>
    <row r="104" spans="1:17" x14ac:dyDescent="0.3">
      <c r="A104" t="s">
        <v>314</v>
      </c>
      <c r="B104" t="s">
        <v>315</v>
      </c>
      <c r="C104" t="s">
        <v>19</v>
      </c>
      <c r="D104" t="s">
        <v>87</v>
      </c>
      <c r="E104" t="s">
        <v>208</v>
      </c>
      <c r="F104">
        <v>2025</v>
      </c>
      <c r="G104" t="s">
        <v>126</v>
      </c>
      <c r="H104">
        <v>136</v>
      </c>
      <c r="I104">
        <v>6.4</v>
      </c>
      <c r="J104">
        <v>713326</v>
      </c>
      <c r="K104">
        <v>1077.6500000000001</v>
      </c>
      <c r="L104">
        <v>245.33</v>
      </c>
      <c r="M104" t="s">
        <v>42</v>
      </c>
      <c r="N104" t="s">
        <v>43</v>
      </c>
      <c r="O104" t="s">
        <v>44</v>
      </c>
      <c r="P104" t="s">
        <v>26</v>
      </c>
      <c r="Q104" t="s">
        <v>60</v>
      </c>
    </row>
    <row r="105" spans="1:17" x14ac:dyDescent="0.3">
      <c r="A105" t="s">
        <v>316</v>
      </c>
      <c r="B105" t="s">
        <v>317</v>
      </c>
      <c r="C105" t="s">
        <v>130</v>
      </c>
      <c r="D105" t="s">
        <v>57</v>
      </c>
      <c r="E105" t="s">
        <v>31</v>
      </c>
      <c r="F105">
        <v>2016</v>
      </c>
      <c r="G105" t="s">
        <v>108</v>
      </c>
      <c r="H105">
        <v>173</v>
      </c>
      <c r="I105">
        <v>6</v>
      </c>
      <c r="J105">
        <v>871717</v>
      </c>
      <c r="K105">
        <v>233.62</v>
      </c>
      <c r="L105">
        <v>157.56</v>
      </c>
      <c r="M105" t="s">
        <v>58</v>
      </c>
      <c r="N105" t="s">
        <v>119</v>
      </c>
      <c r="O105" t="s">
        <v>199</v>
      </c>
      <c r="P105" t="s">
        <v>45</v>
      </c>
      <c r="Q105" t="s">
        <v>68</v>
      </c>
    </row>
    <row r="106" spans="1:17" x14ac:dyDescent="0.3">
      <c r="A106" t="s">
        <v>318</v>
      </c>
      <c r="B106" t="s">
        <v>319</v>
      </c>
      <c r="C106" t="s">
        <v>19</v>
      </c>
      <c r="D106" t="s">
        <v>20</v>
      </c>
      <c r="E106" t="s">
        <v>21</v>
      </c>
      <c r="F106">
        <v>2016</v>
      </c>
      <c r="G106" t="s">
        <v>32</v>
      </c>
      <c r="H106">
        <v>126</v>
      </c>
      <c r="I106">
        <v>7.3</v>
      </c>
      <c r="J106">
        <v>866614</v>
      </c>
      <c r="K106">
        <v>1239.32</v>
      </c>
      <c r="L106">
        <v>224.96</v>
      </c>
      <c r="M106" t="s">
        <v>51</v>
      </c>
      <c r="N106" t="s">
        <v>83</v>
      </c>
      <c r="O106" t="s">
        <v>245</v>
      </c>
      <c r="P106" t="s">
        <v>26</v>
      </c>
      <c r="Q106" t="s">
        <v>123</v>
      </c>
    </row>
    <row r="107" spans="1:17" x14ac:dyDescent="0.3">
      <c r="A107" t="s">
        <v>320</v>
      </c>
      <c r="B107" t="s">
        <v>321</v>
      </c>
      <c r="C107" t="s">
        <v>19</v>
      </c>
      <c r="D107" t="s">
        <v>81</v>
      </c>
      <c r="E107" t="s">
        <v>41</v>
      </c>
      <c r="F107">
        <v>2017</v>
      </c>
      <c r="G107" t="s">
        <v>126</v>
      </c>
      <c r="H107">
        <v>122</v>
      </c>
      <c r="I107">
        <v>7.6</v>
      </c>
      <c r="J107">
        <v>246336</v>
      </c>
      <c r="K107">
        <v>1164.81</v>
      </c>
      <c r="L107">
        <v>204.31</v>
      </c>
      <c r="M107" t="s">
        <v>42</v>
      </c>
      <c r="N107" t="s">
        <v>83</v>
      </c>
      <c r="O107" t="s">
        <v>136</v>
      </c>
      <c r="P107" t="s">
        <v>26</v>
      </c>
      <c r="Q107" t="s">
        <v>54</v>
      </c>
    </row>
    <row r="108" spans="1:17" x14ac:dyDescent="0.3">
      <c r="A108" t="s">
        <v>322</v>
      </c>
      <c r="B108" t="s">
        <v>323</v>
      </c>
      <c r="C108" t="s">
        <v>39</v>
      </c>
      <c r="D108" t="s">
        <v>72</v>
      </c>
      <c r="E108" t="s">
        <v>41</v>
      </c>
      <c r="F108">
        <v>2024</v>
      </c>
      <c r="G108" t="s">
        <v>65</v>
      </c>
      <c r="H108">
        <v>145</v>
      </c>
      <c r="I108">
        <v>7.6</v>
      </c>
      <c r="J108">
        <v>70265</v>
      </c>
      <c r="K108">
        <v>66.73</v>
      </c>
      <c r="L108">
        <v>76.81</v>
      </c>
      <c r="M108" t="s">
        <v>42</v>
      </c>
      <c r="N108" t="s">
        <v>52</v>
      </c>
      <c r="O108" t="s">
        <v>199</v>
      </c>
      <c r="P108" t="s">
        <v>45</v>
      </c>
      <c r="Q108" t="s">
        <v>36</v>
      </c>
    </row>
    <row r="109" spans="1:17" x14ac:dyDescent="0.3">
      <c r="A109" t="s">
        <v>324</v>
      </c>
      <c r="B109" t="s">
        <v>325</v>
      </c>
      <c r="C109" t="s">
        <v>116</v>
      </c>
      <c r="D109" t="s">
        <v>171</v>
      </c>
      <c r="E109" t="s">
        <v>31</v>
      </c>
      <c r="F109">
        <v>2015</v>
      </c>
      <c r="G109" t="s">
        <v>155</v>
      </c>
      <c r="H109">
        <v>107</v>
      </c>
      <c r="I109">
        <v>6.6</v>
      </c>
      <c r="J109">
        <v>434032</v>
      </c>
      <c r="K109">
        <v>764.43</v>
      </c>
      <c r="L109">
        <v>139.84</v>
      </c>
      <c r="M109" t="s">
        <v>172</v>
      </c>
      <c r="N109" t="s">
        <v>52</v>
      </c>
      <c r="O109" t="s">
        <v>166</v>
      </c>
      <c r="P109" t="s">
        <v>45</v>
      </c>
      <c r="Q109" t="s">
        <v>152</v>
      </c>
    </row>
    <row r="110" spans="1:17" x14ac:dyDescent="0.3">
      <c r="A110" t="s">
        <v>326</v>
      </c>
      <c r="B110" t="s">
        <v>327</v>
      </c>
      <c r="C110" t="s">
        <v>19</v>
      </c>
      <c r="D110" t="s">
        <v>211</v>
      </c>
      <c r="E110" t="s">
        <v>31</v>
      </c>
      <c r="F110">
        <v>2016</v>
      </c>
      <c r="G110" t="s">
        <v>96</v>
      </c>
      <c r="H110">
        <v>183</v>
      </c>
      <c r="I110">
        <v>7.2</v>
      </c>
      <c r="J110">
        <v>175218</v>
      </c>
      <c r="K110">
        <v>178.18</v>
      </c>
      <c r="L110">
        <v>162.46</v>
      </c>
      <c r="M110" t="s">
        <v>212</v>
      </c>
      <c r="N110" t="s">
        <v>52</v>
      </c>
      <c r="O110" t="s">
        <v>136</v>
      </c>
      <c r="P110" t="s">
        <v>26</v>
      </c>
      <c r="Q110" t="s">
        <v>152</v>
      </c>
    </row>
    <row r="111" spans="1:17" x14ac:dyDescent="0.3">
      <c r="A111" t="s">
        <v>328</v>
      </c>
      <c r="B111" t="s">
        <v>329</v>
      </c>
      <c r="C111" t="s">
        <v>86</v>
      </c>
      <c r="D111" t="s">
        <v>87</v>
      </c>
      <c r="E111" t="s">
        <v>88</v>
      </c>
      <c r="F111">
        <v>2025</v>
      </c>
      <c r="G111" t="s">
        <v>113</v>
      </c>
      <c r="H111">
        <v>183</v>
      </c>
      <c r="I111">
        <v>6.3</v>
      </c>
      <c r="J111">
        <v>32557</v>
      </c>
      <c r="K111">
        <v>627.79999999999995</v>
      </c>
      <c r="L111">
        <v>125.51</v>
      </c>
      <c r="M111" t="s">
        <v>42</v>
      </c>
      <c r="N111" t="s">
        <v>145</v>
      </c>
      <c r="O111" t="s">
        <v>245</v>
      </c>
      <c r="P111" t="s">
        <v>26</v>
      </c>
      <c r="Q111" t="s">
        <v>36</v>
      </c>
    </row>
    <row r="112" spans="1:17" x14ac:dyDescent="0.3">
      <c r="A112" t="s">
        <v>330</v>
      </c>
      <c r="B112" t="s">
        <v>331</v>
      </c>
      <c r="C112" t="s">
        <v>39</v>
      </c>
      <c r="D112" t="s">
        <v>64</v>
      </c>
      <c r="E112" t="s">
        <v>21</v>
      </c>
      <c r="F112">
        <v>2020</v>
      </c>
      <c r="G112" t="s">
        <v>113</v>
      </c>
      <c r="H112">
        <v>108</v>
      </c>
      <c r="I112">
        <v>7.1</v>
      </c>
      <c r="J112">
        <v>523155</v>
      </c>
      <c r="K112">
        <v>505.9</v>
      </c>
      <c r="L112">
        <v>212.01</v>
      </c>
      <c r="M112" t="s">
        <v>42</v>
      </c>
      <c r="N112" t="s">
        <v>109</v>
      </c>
      <c r="O112" t="s">
        <v>127</v>
      </c>
      <c r="P112" t="s">
        <v>45</v>
      </c>
      <c r="Q112" t="s">
        <v>54</v>
      </c>
    </row>
    <row r="113" spans="1:17" x14ac:dyDescent="0.3">
      <c r="A113" t="s">
        <v>332</v>
      </c>
      <c r="B113" t="s">
        <v>333</v>
      </c>
      <c r="C113" t="s">
        <v>130</v>
      </c>
      <c r="D113" t="s">
        <v>20</v>
      </c>
      <c r="E113" t="s">
        <v>41</v>
      </c>
      <c r="F113">
        <v>2022</v>
      </c>
      <c r="G113" t="s">
        <v>96</v>
      </c>
      <c r="H113">
        <v>125</v>
      </c>
      <c r="I113">
        <v>7.8</v>
      </c>
      <c r="J113">
        <v>604527</v>
      </c>
      <c r="K113">
        <v>380.65</v>
      </c>
      <c r="L113">
        <v>108.46</v>
      </c>
      <c r="M113" t="s">
        <v>33</v>
      </c>
      <c r="N113" t="s">
        <v>140</v>
      </c>
      <c r="O113" t="s">
        <v>199</v>
      </c>
      <c r="P113" t="s">
        <v>26</v>
      </c>
      <c r="Q113" t="s">
        <v>152</v>
      </c>
    </row>
    <row r="114" spans="1:17" x14ac:dyDescent="0.3">
      <c r="A114" t="s">
        <v>334</v>
      </c>
      <c r="B114" t="s">
        <v>335</v>
      </c>
      <c r="C114" t="s">
        <v>48</v>
      </c>
      <c r="D114" t="s">
        <v>57</v>
      </c>
      <c r="E114" t="s">
        <v>41</v>
      </c>
      <c r="F114">
        <v>2017</v>
      </c>
      <c r="G114" t="s">
        <v>65</v>
      </c>
      <c r="H114">
        <v>136</v>
      </c>
      <c r="I114">
        <v>6.6</v>
      </c>
      <c r="J114">
        <v>896914</v>
      </c>
      <c r="K114">
        <v>663.45</v>
      </c>
      <c r="L114">
        <v>114.15</v>
      </c>
      <c r="M114" t="s">
        <v>58</v>
      </c>
      <c r="N114" t="s">
        <v>43</v>
      </c>
      <c r="O114" t="s">
        <v>59</v>
      </c>
      <c r="P114" t="s">
        <v>26</v>
      </c>
      <c r="Q114" t="s">
        <v>68</v>
      </c>
    </row>
    <row r="115" spans="1:17" x14ac:dyDescent="0.3">
      <c r="A115" t="s">
        <v>336</v>
      </c>
      <c r="B115" t="s">
        <v>337</v>
      </c>
      <c r="C115" t="s">
        <v>63</v>
      </c>
      <c r="D115" t="s">
        <v>87</v>
      </c>
      <c r="E115" t="s">
        <v>41</v>
      </c>
      <c r="F115">
        <v>2020</v>
      </c>
      <c r="G115" t="s">
        <v>50</v>
      </c>
      <c r="H115">
        <v>108</v>
      </c>
      <c r="I115">
        <v>7.7</v>
      </c>
      <c r="J115">
        <v>435892</v>
      </c>
      <c r="K115">
        <v>34.57</v>
      </c>
      <c r="L115">
        <v>7.97</v>
      </c>
      <c r="M115" t="s">
        <v>42</v>
      </c>
      <c r="N115" t="s">
        <v>140</v>
      </c>
      <c r="O115" t="s">
        <v>148</v>
      </c>
      <c r="P115" t="s">
        <v>26</v>
      </c>
      <c r="Q115" t="s">
        <v>152</v>
      </c>
    </row>
    <row r="116" spans="1:17" x14ac:dyDescent="0.3">
      <c r="A116" t="s">
        <v>338</v>
      </c>
      <c r="B116" t="s">
        <v>339</v>
      </c>
      <c r="C116" t="s">
        <v>86</v>
      </c>
      <c r="D116" t="s">
        <v>72</v>
      </c>
      <c r="E116" t="s">
        <v>82</v>
      </c>
      <c r="F116">
        <v>2022</v>
      </c>
      <c r="G116" t="s">
        <v>100</v>
      </c>
      <c r="H116">
        <v>183</v>
      </c>
      <c r="I116">
        <v>5.7</v>
      </c>
      <c r="J116">
        <v>808078</v>
      </c>
      <c r="K116">
        <v>487.14</v>
      </c>
      <c r="L116">
        <v>192.99</v>
      </c>
      <c r="M116" t="s">
        <v>42</v>
      </c>
      <c r="N116" t="s">
        <v>140</v>
      </c>
      <c r="O116" t="s">
        <v>53</v>
      </c>
      <c r="P116" t="s">
        <v>26</v>
      </c>
      <c r="Q116" t="s">
        <v>27</v>
      </c>
    </row>
    <row r="117" spans="1:17" x14ac:dyDescent="0.3">
      <c r="A117" t="s">
        <v>340</v>
      </c>
      <c r="B117" t="s">
        <v>341</v>
      </c>
      <c r="C117" t="s">
        <v>104</v>
      </c>
      <c r="D117" t="s">
        <v>81</v>
      </c>
      <c r="E117" t="s">
        <v>82</v>
      </c>
      <c r="F117">
        <v>2025</v>
      </c>
      <c r="G117" t="s">
        <v>96</v>
      </c>
      <c r="H117">
        <v>179</v>
      </c>
      <c r="I117">
        <v>7.8</v>
      </c>
      <c r="J117">
        <v>747290</v>
      </c>
      <c r="K117">
        <v>586.33000000000004</v>
      </c>
      <c r="L117">
        <v>144.4</v>
      </c>
      <c r="M117" t="s">
        <v>42</v>
      </c>
      <c r="N117" t="s">
        <v>34</v>
      </c>
      <c r="O117" t="s">
        <v>127</v>
      </c>
      <c r="P117" t="s">
        <v>26</v>
      </c>
      <c r="Q117" t="s">
        <v>68</v>
      </c>
    </row>
    <row r="118" spans="1:17" x14ac:dyDescent="0.3">
      <c r="A118" t="s">
        <v>342</v>
      </c>
      <c r="B118" t="s">
        <v>343</v>
      </c>
      <c r="C118" t="s">
        <v>144</v>
      </c>
      <c r="D118" t="s">
        <v>20</v>
      </c>
      <c r="E118" t="s">
        <v>88</v>
      </c>
      <c r="F118">
        <v>2018</v>
      </c>
      <c r="G118" t="s">
        <v>50</v>
      </c>
      <c r="H118">
        <v>134</v>
      </c>
      <c r="I118">
        <v>8.6</v>
      </c>
      <c r="J118">
        <v>949591</v>
      </c>
      <c r="K118">
        <v>1377.11</v>
      </c>
      <c r="L118">
        <v>192.91</v>
      </c>
      <c r="M118" t="s">
        <v>51</v>
      </c>
      <c r="N118" t="s">
        <v>119</v>
      </c>
      <c r="O118" t="s">
        <v>166</v>
      </c>
      <c r="P118" t="s">
        <v>26</v>
      </c>
      <c r="Q118" t="s">
        <v>152</v>
      </c>
    </row>
    <row r="119" spans="1:17" x14ac:dyDescent="0.3">
      <c r="A119" t="s">
        <v>344</v>
      </c>
      <c r="B119" t="s">
        <v>345</v>
      </c>
      <c r="C119" t="s">
        <v>86</v>
      </c>
      <c r="D119" t="s">
        <v>20</v>
      </c>
      <c r="E119" t="s">
        <v>41</v>
      </c>
      <c r="F119">
        <v>2024</v>
      </c>
      <c r="G119" t="s">
        <v>77</v>
      </c>
      <c r="H119">
        <v>179</v>
      </c>
      <c r="I119">
        <v>8</v>
      </c>
      <c r="J119">
        <v>708224</v>
      </c>
      <c r="K119">
        <v>105.69</v>
      </c>
      <c r="L119">
        <v>92.27</v>
      </c>
      <c r="M119" t="s">
        <v>33</v>
      </c>
      <c r="N119" t="s">
        <v>34</v>
      </c>
      <c r="O119" t="s">
        <v>59</v>
      </c>
      <c r="P119" t="s">
        <v>45</v>
      </c>
      <c r="Q119" t="s">
        <v>152</v>
      </c>
    </row>
    <row r="120" spans="1:17" x14ac:dyDescent="0.3">
      <c r="A120" t="s">
        <v>346</v>
      </c>
      <c r="B120" t="s">
        <v>347</v>
      </c>
      <c r="C120" t="s">
        <v>116</v>
      </c>
      <c r="D120" t="s">
        <v>87</v>
      </c>
      <c r="E120" t="s">
        <v>92</v>
      </c>
      <c r="F120">
        <v>2016</v>
      </c>
      <c r="G120" t="s">
        <v>155</v>
      </c>
      <c r="H120">
        <v>170</v>
      </c>
      <c r="I120">
        <v>6.6</v>
      </c>
      <c r="J120">
        <v>381011</v>
      </c>
      <c r="K120">
        <v>563.78</v>
      </c>
      <c r="L120">
        <v>78.599999999999994</v>
      </c>
      <c r="M120" t="s">
        <v>42</v>
      </c>
      <c r="N120" t="s">
        <v>52</v>
      </c>
      <c r="O120" t="s">
        <v>67</v>
      </c>
      <c r="P120" t="s">
        <v>26</v>
      </c>
      <c r="Q120" t="s">
        <v>36</v>
      </c>
    </row>
    <row r="121" spans="1:17" x14ac:dyDescent="0.3">
      <c r="A121" t="s">
        <v>348</v>
      </c>
      <c r="B121" t="s">
        <v>349</v>
      </c>
      <c r="C121" t="s">
        <v>144</v>
      </c>
      <c r="D121" t="s">
        <v>20</v>
      </c>
      <c r="E121" t="s">
        <v>208</v>
      </c>
      <c r="F121">
        <v>2017</v>
      </c>
      <c r="G121" t="s">
        <v>32</v>
      </c>
      <c r="H121">
        <v>122</v>
      </c>
      <c r="I121">
        <v>7.6</v>
      </c>
      <c r="J121">
        <v>743363</v>
      </c>
      <c r="K121">
        <v>467.13</v>
      </c>
      <c r="L121">
        <v>111.5</v>
      </c>
      <c r="M121" t="s">
        <v>51</v>
      </c>
      <c r="N121" t="s">
        <v>133</v>
      </c>
      <c r="O121" t="s">
        <v>74</v>
      </c>
      <c r="P121" t="s">
        <v>26</v>
      </c>
      <c r="Q121" t="s">
        <v>68</v>
      </c>
    </row>
    <row r="122" spans="1:17" x14ac:dyDescent="0.3">
      <c r="A122" t="s">
        <v>350</v>
      </c>
      <c r="B122" t="s">
        <v>351</v>
      </c>
      <c r="C122" t="s">
        <v>39</v>
      </c>
      <c r="D122" t="s">
        <v>20</v>
      </c>
      <c r="E122" t="s">
        <v>82</v>
      </c>
      <c r="F122">
        <v>2020</v>
      </c>
      <c r="G122" t="s">
        <v>77</v>
      </c>
      <c r="H122">
        <v>136</v>
      </c>
      <c r="I122">
        <v>7.6</v>
      </c>
      <c r="J122">
        <v>65254</v>
      </c>
      <c r="K122">
        <v>104.36</v>
      </c>
      <c r="L122">
        <v>99.53</v>
      </c>
      <c r="M122" t="s">
        <v>23</v>
      </c>
      <c r="N122" t="s">
        <v>66</v>
      </c>
      <c r="O122" t="s">
        <v>53</v>
      </c>
      <c r="P122" t="s">
        <v>45</v>
      </c>
      <c r="Q122" t="s">
        <v>54</v>
      </c>
    </row>
    <row r="123" spans="1:17" x14ac:dyDescent="0.3">
      <c r="A123" t="s">
        <v>352</v>
      </c>
      <c r="B123" t="s">
        <v>353</v>
      </c>
      <c r="C123" t="s">
        <v>19</v>
      </c>
      <c r="D123" t="s">
        <v>64</v>
      </c>
      <c r="E123" t="s">
        <v>41</v>
      </c>
      <c r="F123">
        <v>2024</v>
      </c>
      <c r="G123" t="s">
        <v>96</v>
      </c>
      <c r="H123">
        <v>94</v>
      </c>
      <c r="I123">
        <v>6.3</v>
      </c>
      <c r="J123">
        <v>139690</v>
      </c>
      <c r="K123">
        <v>1564.53</v>
      </c>
      <c r="L123">
        <v>233.45</v>
      </c>
      <c r="M123" t="s">
        <v>42</v>
      </c>
      <c r="N123" t="s">
        <v>34</v>
      </c>
      <c r="O123" t="s">
        <v>245</v>
      </c>
      <c r="P123" t="s">
        <v>26</v>
      </c>
      <c r="Q123" t="s">
        <v>27</v>
      </c>
    </row>
    <row r="124" spans="1:17" x14ac:dyDescent="0.3">
      <c r="A124" t="s">
        <v>354</v>
      </c>
      <c r="B124" t="s">
        <v>355</v>
      </c>
      <c r="C124" t="s">
        <v>144</v>
      </c>
      <c r="D124" t="s">
        <v>20</v>
      </c>
      <c r="E124" t="s">
        <v>41</v>
      </c>
      <c r="F124">
        <v>2024</v>
      </c>
      <c r="G124" t="s">
        <v>65</v>
      </c>
      <c r="H124">
        <v>116</v>
      </c>
      <c r="I124">
        <v>7.1</v>
      </c>
      <c r="J124">
        <v>181416</v>
      </c>
      <c r="K124">
        <v>1090.25</v>
      </c>
      <c r="L124">
        <v>158.9</v>
      </c>
      <c r="M124" t="s">
        <v>51</v>
      </c>
      <c r="N124" t="s">
        <v>89</v>
      </c>
      <c r="O124" t="s">
        <v>120</v>
      </c>
      <c r="P124" t="s">
        <v>45</v>
      </c>
      <c r="Q124" t="s">
        <v>152</v>
      </c>
    </row>
    <row r="125" spans="1:17" x14ac:dyDescent="0.3">
      <c r="A125" t="s">
        <v>356</v>
      </c>
      <c r="B125" t="s">
        <v>357</v>
      </c>
      <c r="C125" t="s">
        <v>19</v>
      </c>
      <c r="D125" t="s">
        <v>211</v>
      </c>
      <c r="E125" t="s">
        <v>41</v>
      </c>
      <c r="F125">
        <v>2023</v>
      </c>
      <c r="G125" t="s">
        <v>77</v>
      </c>
      <c r="H125">
        <v>176</v>
      </c>
      <c r="I125">
        <v>6.6</v>
      </c>
      <c r="J125">
        <v>773410</v>
      </c>
      <c r="K125">
        <v>1179.01</v>
      </c>
      <c r="L125">
        <v>234.01</v>
      </c>
      <c r="M125" t="s">
        <v>212</v>
      </c>
      <c r="N125" t="s">
        <v>179</v>
      </c>
      <c r="O125" t="s">
        <v>245</v>
      </c>
      <c r="P125" t="s">
        <v>26</v>
      </c>
      <c r="Q125" t="s">
        <v>123</v>
      </c>
    </row>
    <row r="126" spans="1:17" x14ac:dyDescent="0.3">
      <c r="A126" t="s">
        <v>358</v>
      </c>
      <c r="B126" t="s">
        <v>359</v>
      </c>
      <c r="C126" t="s">
        <v>144</v>
      </c>
      <c r="D126" t="s">
        <v>20</v>
      </c>
      <c r="E126" t="s">
        <v>88</v>
      </c>
      <c r="F126">
        <v>2025</v>
      </c>
      <c r="G126" t="s">
        <v>65</v>
      </c>
      <c r="H126">
        <v>133</v>
      </c>
      <c r="I126">
        <v>6.9</v>
      </c>
      <c r="J126">
        <v>407180</v>
      </c>
      <c r="K126">
        <v>640.32000000000005</v>
      </c>
      <c r="L126">
        <v>105.31</v>
      </c>
      <c r="M126" t="s">
        <v>78</v>
      </c>
      <c r="N126" t="s">
        <v>101</v>
      </c>
      <c r="O126" t="s">
        <v>53</v>
      </c>
      <c r="P126" t="s">
        <v>26</v>
      </c>
      <c r="Q126" t="s">
        <v>123</v>
      </c>
    </row>
    <row r="127" spans="1:17" x14ac:dyDescent="0.3">
      <c r="A127" t="s">
        <v>360</v>
      </c>
      <c r="B127" t="s">
        <v>361</v>
      </c>
      <c r="C127" t="s">
        <v>86</v>
      </c>
      <c r="D127" t="s">
        <v>20</v>
      </c>
      <c r="E127" t="s">
        <v>31</v>
      </c>
      <c r="F127">
        <v>2019</v>
      </c>
      <c r="G127" t="s">
        <v>22</v>
      </c>
      <c r="H127">
        <v>161</v>
      </c>
      <c r="I127">
        <v>8</v>
      </c>
      <c r="J127">
        <v>494246</v>
      </c>
      <c r="K127">
        <v>62.29</v>
      </c>
      <c r="L127">
        <v>72.87</v>
      </c>
      <c r="M127" t="s">
        <v>51</v>
      </c>
      <c r="N127" t="s">
        <v>109</v>
      </c>
      <c r="O127" t="s">
        <v>105</v>
      </c>
      <c r="P127" t="s">
        <v>26</v>
      </c>
      <c r="Q127" t="s">
        <v>123</v>
      </c>
    </row>
    <row r="128" spans="1:17" x14ac:dyDescent="0.3">
      <c r="A128" t="s">
        <v>362</v>
      </c>
      <c r="B128" t="s">
        <v>363</v>
      </c>
      <c r="C128" t="s">
        <v>39</v>
      </c>
      <c r="D128" t="s">
        <v>64</v>
      </c>
      <c r="E128" t="s">
        <v>192</v>
      </c>
      <c r="F128">
        <v>2017</v>
      </c>
      <c r="G128" t="s">
        <v>113</v>
      </c>
      <c r="H128">
        <v>127</v>
      </c>
      <c r="I128">
        <v>7.3</v>
      </c>
      <c r="J128">
        <v>258466</v>
      </c>
      <c r="K128">
        <v>652.54</v>
      </c>
      <c r="L128">
        <v>125.83</v>
      </c>
      <c r="M128" t="s">
        <v>42</v>
      </c>
      <c r="N128" t="s">
        <v>140</v>
      </c>
      <c r="O128" t="s">
        <v>67</v>
      </c>
      <c r="P128" t="s">
        <v>26</v>
      </c>
      <c r="Q128" t="s">
        <v>27</v>
      </c>
    </row>
    <row r="129" spans="1:17" x14ac:dyDescent="0.3">
      <c r="A129" t="s">
        <v>364</v>
      </c>
      <c r="B129" t="s">
        <v>365</v>
      </c>
      <c r="C129" t="s">
        <v>86</v>
      </c>
      <c r="D129" t="s">
        <v>87</v>
      </c>
      <c r="E129" t="s">
        <v>88</v>
      </c>
      <c r="F129">
        <v>2024</v>
      </c>
      <c r="G129" t="s">
        <v>100</v>
      </c>
      <c r="H129">
        <v>95</v>
      </c>
      <c r="I129">
        <v>7.6</v>
      </c>
      <c r="J129">
        <v>802377</v>
      </c>
      <c r="L129">
        <v>105.21</v>
      </c>
      <c r="M129" t="s">
        <v>42</v>
      </c>
      <c r="N129" t="s">
        <v>52</v>
      </c>
      <c r="O129" t="s">
        <v>97</v>
      </c>
      <c r="P129" t="s">
        <v>26</v>
      </c>
      <c r="Q129" t="s">
        <v>27</v>
      </c>
    </row>
    <row r="130" spans="1:17" x14ac:dyDescent="0.3">
      <c r="A130" t="s">
        <v>366</v>
      </c>
      <c r="B130" t="s">
        <v>367</v>
      </c>
      <c r="C130" t="s">
        <v>112</v>
      </c>
      <c r="D130" t="s">
        <v>40</v>
      </c>
      <c r="E130" t="s">
        <v>41</v>
      </c>
      <c r="F130">
        <v>2023</v>
      </c>
      <c r="G130" t="s">
        <v>96</v>
      </c>
      <c r="H130">
        <v>151</v>
      </c>
      <c r="I130">
        <v>6.7</v>
      </c>
      <c r="J130">
        <v>813567</v>
      </c>
      <c r="K130">
        <v>579.57000000000005</v>
      </c>
      <c r="L130">
        <v>233.03</v>
      </c>
      <c r="M130" t="s">
        <v>42</v>
      </c>
      <c r="N130" t="s">
        <v>179</v>
      </c>
      <c r="O130" t="s">
        <v>199</v>
      </c>
      <c r="P130" t="s">
        <v>26</v>
      </c>
      <c r="Q130" t="s">
        <v>54</v>
      </c>
    </row>
    <row r="131" spans="1:17" x14ac:dyDescent="0.3">
      <c r="A131" t="s">
        <v>368</v>
      </c>
      <c r="B131" t="s">
        <v>369</v>
      </c>
      <c r="C131" t="s">
        <v>48</v>
      </c>
      <c r="D131" t="s">
        <v>20</v>
      </c>
      <c r="E131" t="s">
        <v>82</v>
      </c>
      <c r="F131">
        <v>2020</v>
      </c>
      <c r="G131" t="s">
        <v>50</v>
      </c>
      <c r="H131">
        <v>99</v>
      </c>
      <c r="I131">
        <v>6.9</v>
      </c>
      <c r="J131">
        <v>297805</v>
      </c>
      <c r="K131">
        <v>812.53</v>
      </c>
      <c r="L131">
        <v>170.2</v>
      </c>
      <c r="M131" t="s">
        <v>78</v>
      </c>
      <c r="N131" t="s">
        <v>73</v>
      </c>
      <c r="O131" t="s">
        <v>141</v>
      </c>
      <c r="P131" t="s">
        <v>26</v>
      </c>
      <c r="Q131" t="s">
        <v>60</v>
      </c>
    </row>
    <row r="132" spans="1:17" x14ac:dyDescent="0.3">
      <c r="A132" t="s">
        <v>370</v>
      </c>
      <c r="B132" t="s">
        <v>371</v>
      </c>
      <c r="C132" t="s">
        <v>30</v>
      </c>
      <c r="D132" t="s">
        <v>20</v>
      </c>
      <c r="E132" t="s">
        <v>41</v>
      </c>
      <c r="F132">
        <v>2019</v>
      </c>
      <c r="G132" t="s">
        <v>22</v>
      </c>
      <c r="H132">
        <v>162</v>
      </c>
      <c r="I132">
        <v>7.1</v>
      </c>
      <c r="J132">
        <v>466271</v>
      </c>
      <c r="K132">
        <v>96.65</v>
      </c>
      <c r="L132">
        <v>89.18</v>
      </c>
      <c r="M132" t="s">
        <v>78</v>
      </c>
      <c r="N132" t="s">
        <v>83</v>
      </c>
      <c r="O132" t="s">
        <v>25</v>
      </c>
      <c r="P132" t="s">
        <v>26</v>
      </c>
      <c r="Q132" t="s">
        <v>123</v>
      </c>
    </row>
    <row r="133" spans="1:17" x14ac:dyDescent="0.3">
      <c r="A133" t="s">
        <v>372</v>
      </c>
      <c r="B133" t="s">
        <v>373</v>
      </c>
      <c r="C133" t="s">
        <v>144</v>
      </c>
      <c r="D133" t="s">
        <v>20</v>
      </c>
      <c r="E133" t="s">
        <v>88</v>
      </c>
      <c r="F133">
        <v>2017</v>
      </c>
      <c r="G133" t="s">
        <v>65</v>
      </c>
      <c r="H133">
        <v>89</v>
      </c>
      <c r="I133">
        <v>6.4</v>
      </c>
      <c r="J133">
        <v>341798</v>
      </c>
      <c r="K133">
        <v>850.22</v>
      </c>
      <c r="L133">
        <v>216.33</v>
      </c>
      <c r="M133" t="s">
        <v>78</v>
      </c>
      <c r="N133" t="s">
        <v>101</v>
      </c>
      <c r="O133" t="s">
        <v>59</v>
      </c>
      <c r="P133" t="s">
        <v>26</v>
      </c>
      <c r="Q133" t="s">
        <v>123</v>
      </c>
    </row>
    <row r="134" spans="1:17" x14ac:dyDescent="0.3">
      <c r="A134" t="s">
        <v>374</v>
      </c>
      <c r="B134" t="s">
        <v>375</v>
      </c>
      <c r="C134" t="s">
        <v>144</v>
      </c>
      <c r="D134" t="s">
        <v>20</v>
      </c>
      <c r="E134" t="s">
        <v>88</v>
      </c>
      <c r="F134">
        <v>2017</v>
      </c>
      <c r="G134" t="s">
        <v>126</v>
      </c>
      <c r="H134">
        <v>134</v>
      </c>
      <c r="I134">
        <v>7.7</v>
      </c>
      <c r="J134">
        <v>439355</v>
      </c>
      <c r="K134">
        <v>697.26</v>
      </c>
      <c r="L134">
        <v>149.91</v>
      </c>
      <c r="M134" t="s">
        <v>33</v>
      </c>
      <c r="N134" t="s">
        <v>133</v>
      </c>
      <c r="O134" t="s">
        <v>67</v>
      </c>
      <c r="P134" t="s">
        <v>45</v>
      </c>
      <c r="Q134" t="s">
        <v>123</v>
      </c>
    </row>
    <row r="135" spans="1:17" x14ac:dyDescent="0.3">
      <c r="A135" t="s">
        <v>376</v>
      </c>
      <c r="B135" t="s">
        <v>377</v>
      </c>
      <c r="C135" t="s">
        <v>39</v>
      </c>
      <c r="D135" t="s">
        <v>20</v>
      </c>
      <c r="E135" t="s">
        <v>31</v>
      </c>
      <c r="F135">
        <v>2021</v>
      </c>
      <c r="G135" t="s">
        <v>100</v>
      </c>
      <c r="H135">
        <v>142</v>
      </c>
      <c r="I135">
        <v>7.4</v>
      </c>
      <c r="J135">
        <v>604667</v>
      </c>
      <c r="K135">
        <v>1076.69</v>
      </c>
      <c r="L135">
        <v>172.13</v>
      </c>
      <c r="M135" t="s">
        <v>78</v>
      </c>
      <c r="N135" t="s">
        <v>52</v>
      </c>
      <c r="O135" t="s">
        <v>141</v>
      </c>
      <c r="P135" t="s">
        <v>45</v>
      </c>
      <c r="Q135" t="s">
        <v>27</v>
      </c>
    </row>
    <row r="136" spans="1:17" x14ac:dyDescent="0.3">
      <c r="A136" t="s">
        <v>378</v>
      </c>
      <c r="B136" t="s">
        <v>379</v>
      </c>
      <c r="C136" t="s">
        <v>86</v>
      </c>
      <c r="D136" t="s">
        <v>20</v>
      </c>
      <c r="E136" t="s">
        <v>82</v>
      </c>
      <c r="F136">
        <v>2016</v>
      </c>
      <c r="G136" t="s">
        <v>126</v>
      </c>
      <c r="H136">
        <v>175</v>
      </c>
      <c r="I136">
        <v>6.8</v>
      </c>
      <c r="J136">
        <v>811952</v>
      </c>
      <c r="K136">
        <v>389.15</v>
      </c>
      <c r="L136">
        <v>52.77</v>
      </c>
      <c r="M136" t="s">
        <v>23</v>
      </c>
      <c r="N136" t="s">
        <v>101</v>
      </c>
      <c r="O136" t="s">
        <v>199</v>
      </c>
      <c r="P136" t="s">
        <v>26</v>
      </c>
      <c r="Q136" t="s">
        <v>123</v>
      </c>
    </row>
    <row r="137" spans="1:17" x14ac:dyDescent="0.3">
      <c r="A137" t="s">
        <v>380</v>
      </c>
      <c r="B137" t="s">
        <v>381</v>
      </c>
      <c r="C137" t="s">
        <v>30</v>
      </c>
      <c r="D137" t="s">
        <v>20</v>
      </c>
      <c r="E137" t="s">
        <v>31</v>
      </c>
      <c r="F137">
        <v>2016</v>
      </c>
      <c r="G137" t="s">
        <v>93</v>
      </c>
      <c r="H137">
        <v>124</v>
      </c>
      <c r="J137">
        <v>62575</v>
      </c>
      <c r="K137">
        <v>460</v>
      </c>
      <c r="L137">
        <v>154.38999999999999</v>
      </c>
      <c r="M137" t="s">
        <v>51</v>
      </c>
      <c r="N137" t="s">
        <v>24</v>
      </c>
      <c r="O137" t="s">
        <v>53</v>
      </c>
      <c r="P137" t="s">
        <v>26</v>
      </c>
      <c r="Q137" t="s">
        <v>27</v>
      </c>
    </row>
    <row r="138" spans="1:17" x14ac:dyDescent="0.3">
      <c r="A138" t="s">
        <v>382</v>
      </c>
      <c r="B138" t="s">
        <v>383</v>
      </c>
      <c r="C138" t="s">
        <v>19</v>
      </c>
      <c r="D138" t="s">
        <v>64</v>
      </c>
      <c r="E138" t="s">
        <v>92</v>
      </c>
      <c r="F138">
        <v>2018</v>
      </c>
      <c r="G138" t="s">
        <v>93</v>
      </c>
      <c r="H138">
        <v>132</v>
      </c>
      <c r="I138">
        <v>7.4</v>
      </c>
      <c r="J138">
        <v>567492</v>
      </c>
      <c r="K138">
        <v>1487.91</v>
      </c>
      <c r="L138">
        <v>246.36</v>
      </c>
      <c r="M138" t="s">
        <v>42</v>
      </c>
      <c r="N138" t="s">
        <v>66</v>
      </c>
      <c r="O138" t="s">
        <v>127</v>
      </c>
      <c r="P138" t="s">
        <v>26</v>
      </c>
      <c r="Q138" t="s">
        <v>152</v>
      </c>
    </row>
    <row r="139" spans="1:17" x14ac:dyDescent="0.3">
      <c r="A139" t="s">
        <v>384</v>
      </c>
      <c r="B139" t="s">
        <v>385</v>
      </c>
      <c r="C139" t="s">
        <v>39</v>
      </c>
      <c r="D139" t="s">
        <v>40</v>
      </c>
      <c r="E139" t="s">
        <v>88</v>
      </c>
      <c r="F139">
        <v>2020</v>
      </c>
      <c r="G139" t="s">
        <v>96</v>
      </c>
      <c r="H139">
        <v>145</v>
      </c>
      <c r="I139">
        <v>6.8</v>
      </c>
      <c r="J139">
        <v>599998</v>
      </c>
      <c r="K139">
        <v>835.66</v>
      </c>
      <c r="L139">
        <v>186.84</v>
      </c>
      <c r="M139" t="s">
        <v>42</v>
      </c>
      <c r="N139" t="s">
        <v>43</v>
      </c>
      <c r="O139" t="s">
        <v>166</v>
      </c>
      <c r="P139" t="s">
        <v>45</v>
      </c>
      <c r="Q139" t="s">
        <v>27</v>
      </c>
    </row>
    <row r="140" spans="1:17" x14ac:dyDescent="0.3">
      <c r="A140" t="s">
        <v>386</v>
      </c>
      <c r="B140" t="s">
        <v>387</v>
      </c>
      <c r="C140" t="s">
        <v>30</v>
      </c>
      <c r="D140" t="s">
        <v>20</v>
      </c>
      <c r="E140" t="s">
        <v>31</v>
      </c>
      <c r="F140">
        <v>2021</v>
      </c>
      <c r="G140" t="s">
        <v>50</v>
      </c>
      <c r="H140">
        <v>163</v>
      </c>
      <c r="I140">
        <v>8.8000000000000007</v>
      </c>
      <c r="J140">
        <v>688849</v>
      </c>
      <c r="L140">
        <v>131.21</v>
      </c>
      <c r="M140" t="s">
        <v>51</v>
      </c>
      <c r="N140" t="s">
        <v>52</v>
      </c>
      <c r="O140" t="s">
        <v>120</v>
      </c>
      <c r="P140" t="s">
        <v>26</v>
      </c>
      <c r="Q140" t="s">
        <v>27</v>
      </c>
    </row>
    <row r="141" spans="1:17" x14ac:dyDescent="0.3">
      <c r="A141" t="s">
        <v>388</v>
      </c>
      <c r="B141" t="s">
        <v>389</v>
      </c>
      <c r="C141" t="s">
        <v>144</v>
      </c>
      <c r="D141" t="s">
        <v>20</v>
      </c>
      <c r="E141" t="s">
        <v>31</v>
      </c>
      <c r="F141">
        <v>2018</v>
      </c>
      <c r="G141" t="s">
        <v>65</v>
      </c>
      <c r="H141">
        <v>177</v>
      </c>
      <c r="I141">
        <v>7.8</v>
      </c>
      <c r="J141">
        <v>408452</v>
      </c>
      <c r="K141">
        <v>77.91</v>
      </c>
      <c r="L141">
        <v>17.62</v>
      </c>
      <c r="M141" t="s">
        <v>78</v>
      </c>
      <c r="N141" t="s">
        <v>89</v>
      </c>
      <c r="O141" t="s">
        <v>127</v>
      </c>
      <c r="P141" t="s">
        <v>26</v>
      </c>
      <c r="Q141" t="s">
        <v>152</v>
      </c>
    </row>
    <row r="142" spans="1:17" x14ac:dyDescent="0.3">
      <c r="A142" t="s">
        <v>390</v>
      </c>
      <c r="B142" t="s">
        <v>391</v>
      </c>
      <c r="C142" t="s">
        <v>39</v>
      </c>
      <c r="D142" t="s">
        <v>57</v>
      </c>
      <c r="E142" t="s">
        <v>41</v>
      </c>
      <c r="F142">
        <v>2021</v>
      </c>
      <c r="G142" t="s">
        <v>65</v>
      </c>
      <c r="H142">
        <v>104</v>
      </c>
      <c r="I142">
        <v>7.5</v>
      </c>
      <c r="J142">
        <v>429868</v>
      </c>
      <c r="K142">
        <v>1673.95</v>
      </c>
      <c r="L142">
        <v>246.82</v>
      </c>
      <c r="M142" t="s">
        <v>58</v>
      </c>
      <c r="N142" t="s">
        <v>133</v>
      </c>
      <c r="O142" t="s">
        <v>136</v>
      </c>
      <c r="P142" t="s">
        <v>26</v>
      </c>
      <c r="Q142" t="s">
        <v>68</v>
      </c>
    </row>
    <row r="143" spans="1:17" x14ac:dyDescent="0.3">
      <c r="A143" t="s">
        <v>392</v>
      </c>
      <c r="B143" t="s">
        <v>393</v>
      </c>
      <c r="C143" t="s">
        <v>30</v>
      </c>
      <c r="D143" t="s">
        <v>20</v>
      </c>
      <c r="E143" t="s">
        <v>31</v>
      </c>
      <c r="F143">
        <v>2016</v>
      </c>
      <c r="G143" t="s">
        <v>126</v>
      </c>
      <c r="H143">
        <v>86</v>
      </c>
      <c r="I143">
        <v>8.9</v>
      </c>
      <c r="J143">
        <v>139194</v>
      </c>
      <c r="K143">
        <v>628.88</v>
      </c>
      <c r="L143">
        <v>97.94</v>
      </c>
      <c r="M143" t="s">
        <v>33</v>
      </c>
      <c r="N143" t="s">
        <v>34</v>
      </c>
      <c r="O143" t="s">
        <v>127</v>
      </c>
      <c r="P143" t="s">
        <v>26</v>
      </c>
      <c r="Q143" t="s">
        <v>68</v>
      </c>
    </row>
    <row r="144" spans="1:17" x14ac:dyDescent="0.3">
      <c r="A144" t="s">
        <v>394</v>
      </c>
      <c r="B144" t="s">
        <v>395</v>
      </c>
      <c r="C144" t="s">
        <v>39</v>
      </c>
      <c r="D144" t="s">
        <v>72</v>
      </c>
      <c r="E144" t="s">
        <v>41</v>
      </c>
      <c r="F144">
        <v>2020</v>
      </c>
      <c r="G144" t="s">
        <v>155</v>
      </c>
      <c r="H144">
        <v>105</v>
      </c>
      <c r="I144">
        <v>6.2</v>
      </c>
      <c r="J144">
        <v>370238</v>
      </c>
      <c r="K144">
        <v>1012.93</v>
      </c>
      <c r="L144">
        <v>225.82</v>
      </c>
      <c r="M144" t="s">
        <v>42</v>
      </c>
      <c r="N144" t="s">
        <v>119</v>
      </c>
      <c r="O144" t="s">
        <v>74</v>
      </c>
      <c r="P144" t="s">
        <v>26</v>
      </c>
      <c r="Q144" t="s">
        <v>68</v>
      </c>
    </row>
    <row r="145" spans="1:17" x14ac:dyDescent="0.3">
      <c r="A145" t="s">
        <v>396</v>
      </c>
      <c r="B145" t="s">
        <v>397</v>
      </c>
      <c r="C145" t="s">
        <v>39</v>
      </c>
      <c r="D145" t="s">
        <v>72</v>
      </c>
      <c r="E145" t="s">
        <v>41</v>
      </c>
      <c r="F145">
        <v>2016</v>
      </c>
      <c r="G145" t="s">
        <v>155</v>
      </c>
      <c r="H145">
        <v>114</v>
      </c>
      <c r="I145">
        <v>6.6</v>
      </c>
      <c r="J145">
        <v>119644</v>
      </c>
      <c r="K145">
        <v>486.66</v>
      </c>
      <c r="L145">
        <v>121.42</v>
      </c>
      <c r="M145" t="s">
        <v>42</v>
      </c>
      <c r="N145" t="s">
        <v>83</v>
      </c>
      <c r="O145" t="s">
        <v>120</v>
      </c>
      <c r="P145" t="s">
        <v>26</v>
      </c>
      <c r="Q145" t="s">
        <v>152</v>
      </c>
    </row>
    <row r="146" spans="1:17" x14ac:dyDescent="0.3">
      <c r="A146" t="s">
        <v>398</v>
      </c>
      <c r="B146" t="s">
        <v>399</v>
      </c>
      <c r="C146" t="s">
        <v>130</v>
      </c>
      <c r="D146" t="s">
        <v>20</v>
      </c>
      <c r="E146" t="s">
        <v>31</v>
      </c>
      <c r="F146">
        <v>2016</v>
      </c>
      <c r="G146" t="s">
        <v>93</v>
      </c>
      <c r="H146">
        <v>170</v>
      </c>
      <c r="I146">
        <v>7.7</v>
      </c>
      <c r="J146">
        <v>893544</v>
      </c>
      <c r="K146">
        <v>1399.43</v>
      </c>
      <c r="L146">
        <v>188.26</v>
      </c>
      <c r="M146" t="s">
        <v>33</v>
      </c>
      <c r="N146" t="s">
        <v>145</v>
      </c>
      <c r="O146" t="s">
        <v>127</v>
      </c>
      <c r="P146" t="s">
        <v>26</v>
      </c>
      <c r="Q146" t="s">
        <v>54</v>
      </c>
    </row>
    <row r="147" spans="1:17" x14ac:dyDescent="0.3">
      <c r="A147" t="s">
        <v>400</v>
      </c>
      <c r="B147" t="s">
        <v>401</v>
      </c>
      <c r="C147" t="s">
        <v>39</v>
      </c>
      <c r="D147" t="s">
        <v>20</v>
      </c>
      <c r="E147" t="s">
        <v>41</v>
      </c>
      <c r="F147">
        <v>2022</v>
      </c>
      <c r="G147" t="s">
        <v>126</v>
      </c>
      <c r="H147">
        <v>113</v>
      </c>
      <c r="I147">
        <v>7.4</v>
      </c>
      <c r="J147">
        <v>822073</v>
      </c>
      <c r="K147">
        <v>1185.6600000000001</v>
      </c>
      <c r="L147">
        <v>227.37</v>
      </c>
      <c r="M147" t="s">
        <v>78</v>
      </c>
      <c r="N147" t="s">
        <v>89</v>
      </c>
      <c r="O147" t="s">
        <v>35</v>
      </c>
      <c r="P147" t="s">
        <v>26</v>
      </c>
      <c r="Q147" t="s">
        <v>27</v>
      </c>
    </row>
    <row r="148" spans="1:17" x14ac:dyDescent="0.3">
      <c r="A148" t="s">
        <v>402</v>
      </c>
      <c r="B148" t="s">
        <v>403</v>
      </c>
      <c r="C148" t="s">
        <v>104</v>
      </c>
      <c r="D148" t="s">
        <v>171</v>
      </c>
      <c r="E148" t="s">
        <v>49</v>
      </c>
      <c r="F148">
        <v>2025</v>
      </c>
      <c r="G148" t="s">
        <v>126</v>
      </c>
      <c r="H148">
        <v>88</v>
      </c>
      <c r="I148">
        <v>6.3</v>
      </c>
      <c r="J148">
        <v>727957</v>
      </c>
      <c r="K148">
        <v>137.26</v>
      </c>
      <c r="L148">
        <v>68.33</v>
      </c>
      <c r="M148" t="s">
        <v>172</v>
      </c>
      <c r="N148" t="s">
        <v>66</v>
      </c>
      <c r="O148" t="s">
        <v>136</v>
      </c>
      <c r="P148" t="s">
        <v>26</v>
      </c>
      <c r="Q148" t="s">
        <v>152</v>
      </c>
    </row>
    <row r="149" spans="1:17" x14ac:dyDescent="0.3">
      <c r="A149" t="s">
        <v>404</v>
      </c>
      <c r="B149" t="s">
        <v>405</v>
      </c>
      <c r="C149" t="s">
        <v>19</v>
      </c>
      <c r="D149" t="s">
        <v>87</v>
      </c>
      <c r="E149" t="s">
        <v>49</v>
      </c>
      <c r="F149">
        <v>2018</v>
      </c>
      <c r="G149" t="s">
        <v>126</v>
      </c>
      <c r="H149">
        <v>137</v>
      </c>
      <c r="I149">
        <v>6</v>
      </c>
      <c r="J149">
        <v>305504</v>
      </c>
      <c r="K149">
        <v>903.16</v>
      </c>
      <c r="L149">
        <v>246.27</v>
      </c>
      <c r="M149" t="s">
        <v>42</v>
      </c>
      <c r="N149" t="s">
        <v>66</v>
      </c>
      <c r="O149" t="s">
        <v>67</v>
      </c>
      <c r="P149" t="s">
        <v>26</v>
      </c>
      <c r="Q149" t="s">
        <v>36</v>
      </c>
    </row>
    <row r="150" spans="1:17" x14ac:dyDescent="0.3">
      <c r="A150" t="s">
        <v>406</v>
      </c>
      <c r="B150" t="s">
        <v>407</v>
      </c>
      <c r="C150" t="s">
        <v>116</v>
      </c>
      <c r="D150" t="s">
        <v>171</v>
      </c>
      <c r="E150" t="s">
        <v>41</v>
      </c>
      <c r="F150">
        <v>2021</v>
      </c>
      <c r="G150" t="s">
        <v>32</v>
      </c>
      <c r="H150">
        <v>117</v>
      </c>
      <c r="I150">
        <v>6.6</v>
      </c>
      <c r="J150">
        <v>404180</v>
      </c>
      <c r="K150">
        <v>323.56</v>
      </c>
      <c r="L150">
        <v>213.63</v>
      </c>
      <c r="M150" t="s">
        <v>172</v>
      </c>
      <c r="N150" t="s">
        <v>83</v>
      </c>
      <c r="O150" t="s">
        <v>74</v>
      </c>
      <c r="P150" t="s">
        <v>45</v>
      </c>
      <c r="Q150" t="s">
        <v>54</v>
      </c>
    </row>
    <row r="151" spans="1:17" x14ac:dyDescent="0.3">
      <c r="A151" t="s">
        <v>408</v>
      </c>
      <c r="B151" t="s">
        <v>409</v>
      </c>
      <c r="C151" t="s">
        <v>39</v>
      </c>
      <c r="D151" t="s">
        <v>20</v>
      </c>
      <c r="E151" t="s">
        <v>92</v>
      </c>
      <c r="F151">
        <v>2024</v>
      </c>
      <c r="G151" t="s">
        <v>22</v>
      </c>
      <c r="H151">
        <v>90</v>
      </c>
      <c r="I151">
        <v>7.5</v>
      </c>
      <c r="J151">
        <v>110293</v>
      </c>
      <c r="K151">
        <v>1298.7</v>
      </c>
      <c r="L151">
        <v>185.62</v>
      </c>
      <c r="M151" t="s">
        <v>23</v>
      </c>
      <c r="N151" t="s">
        <v>133</v>
      </c>
      <c r="O151" t="s">
        <v>35</v>
      </c>
      <c r="P151" t="s">
        <v>26</v>
      </c>
      <c r="Q151" t="s">
        <v>60</v>
      </c>
    </row>
    <row r="152" spans="1:17" x14ac:dyDescent="0.3">
      <c r="A152" t="s">
        <v>410</v>
      </c>
      <c r="B152" t="s">
        <v>411</v>
      </c>
      <c r="C152" t="s">
        <v>19</v>
      </c>
      <c r="D152" t="s">
        <v>171</v>
      </c>
      <c r="E152" t="s">
        <v>92</v>
      </c>
      <c r="F152">
        <v>2019</v>
      </c>
      <c r="G152" t="s">
        <v>93</v>
      </c>
      <c r="H152">
        <v>107</v>
      </c>
      <c r="I152">
        <v>8.1999999999999993</v>
      </c>
      <c r="J152">
        <v>880903</v>
      </c>
      <c r="K152">
        <v>1218.68</v>
      </c>
      <c r="L152">
        <v>177.61</v>
      </c>
      <c r="M152" t="s">
        <v>172</v>
      </c>
      <c r="N152" t="s">
        <v>133</v>
      </c>
      <c r="O152" t="s">
        <v>141</v>
      </c>
      <c r="P152" t="s">
        <v>26</v>
      </c>
      <c r="Q152" t="s">
        <v>152</v>
      </c>
    </row>
    <row r="153" spans="1:17" x14ac:dyDescent="0.3">
      <c r="A153" t="s">
        <v>412</v>
      </c>
      <c r="B153" t="s">
        <v>413</v>
      </c>
      <c r="C153" t="s">
        <v>86</v>
      </c>
      <c r="D153" t="s">
        <v>20</v>
      </c>
      <c r="E153" t="s">
        <v>41</v>
      </c>
      <c r="F153">
        <v>2025</v>
      </c>
      <c r="G153" t="s">
        <v>50</v>
      </c>
      <c r="H153">
        <v>128</v>
      </c>
      <c r="I153">
        <v>8.6</v>
      </c>
      <c r="J153">
        <v>191472</v>
      </c>
      <c r="K153">
        <v>390.53</v>
      </c>
      <c r="L153">
        <v>122.91</v>
      </c>
      <c r="M153" t="s">
        <v>78</v>
      </c>
      <c r="N153" t="s">
        <v>34</v>
      </c>
      <c r="O153" t="s">
        <v>44</v>
      </c>
      <c r="P153" t="s">
        <v>45</v>
      </c>
      <c r="Q153" t="s">
        <v>123</v>
      </c>
    </row>
    <row r="154" spans="1:17" x14ac:dyDescent="0.3">
      <c r="A154" t="s">
        <v>414</v>
      </c>
      <c r="B154" t="s">
        <v>415</v>
      </c>
      <c r="C154" t="s">
        <v>63</v>
      </c>
      <c r="D154" t="s">
        <v>20</v>
      </c>
      <c r="E154" t="s">
        <v>31</v>
      </c>
      <c r="F154">
        <v>2015</v>
      </c>
      <c r="G154" t="s">
        <v>77</v>
      </c>
      <c r="H154">
        <v>188</v>
      </c>
      <c r="I154">
        <v>8.8000000000000007</v>
      </c>
      <c r="J154">
        <v>450979</v>
      </c>
      <c r="K154">
        <v>85.28</v>
      </c>
      <c r="L154">
        <v>69.45</v>
      </c>
      <c r="M154" t="s">
        <v>51</v>
      </c>
      <c r="N154" t="s">
        <v>89</v>
      </c>
      <c r="O154" t="s">
        <v>59</v>
      </c>
      <c r="P154" t="s">
        <v>45</v>
      </c>
      <c r="Q154" t="s">
        <v>54</v>
      </c>
    </row>
    <row r="155" spans="1:17" x14ac:dyDescent="0.3">
      <c r="A155" t="s">
        <v>416</v>
      </c>
      <c r="B155" t="s">
        <v>417</v>
      </c>
      <c r="C155" t="s">
        <v>39</v>
      </c>
      <c r="D155" t="s">
        <v>20</v>
      </c>
      <c r="E155" t="s">
        <v>41</v>
      </c>
      <c r="F155">
        <v>2016</v>
      </c>
      <c r="G155" t="s">
        <v>32</v>
      </c>
      <c r="H155">
        <v>85</v>
      </c>
      <c r="I155">
        <v>8</v>
      </c>
      <c r="J155">
        <v>440838</v>
      </c>
      <c r="K155">
        <v>1630.1</v>
      </c>
      <c r="L155">
        <v>242.34</v>
      </c>
      <c r="M155" t="s">
        <v>33</v>
      </c>
      <c r="N155" t="s">
        <v>66</v>
      </c>
      <c r="O155" t="s">
        <v>166</v>
      </c>
      <c r="P155" t="s">
        <v>26</v>
      </c>
      <c r="Q155" t="s">
        <v>60</v>
      </c>
    </row>
    <row r="156" spans="1:17" x14ac:dyDescent="0.3">
      <c r="A156" t="s">
        <v>418</v>
      </c>
      <c r="B156" t="s">
        <v>419</v>
      </c>
      <c r="C156" t="s">
        <v>30</v>
      </c>
      <c r="D156" t="s">
        <v>215</v>
      </c>
      <c r="E156" t="s">
        <v>41</v>
      </c>
      <c r="F156">
        <v>2022</v>
      </c>
      <c r="G156" t="s">
        <v>65</v>
      </c>
      <c r="H156">
        <v>189</v>
      </c>
      <c r="I156">
        <v>7.3</v>
      </c>
      <c r="J156">
        <v>164368</v>
      </c>
      <c r="K156">
        <v>1237.05</v>
      </c>
      <c r="L156">
        <v>189.92</v>
      </c>
      <c r="M156" t="s">
        <v>216</v>
      </c>
      <c r="N156" t="s">
        <v>24</v>
      </c>
      <c r="O156" t="s">
        <v>53</v>
      </c>
      <c r="P156" t="s">
        <v>26</v>
      </c>
      <c r="Q156" t="s">
        <v>60</v>
      </c>
    </row>
    <row r="157" spans="1:17" x14ac:dyDescent="0.3">
      <c r="A157" t="s">
        <v>420</v>
      </c>
      <c r="B157" t="s">
        <v>421</v>
      </c>
      <c r="C157" t="s">
        <v>39</v>
      </c>
      <c r="D157" t="s">
        <v>81</v>
      </c>
      <c r="E157" t="s">
        <v>82</v>
      </c>
      <c r="F157">
        <v>2015</v>
      </c>
      <c r="G157" t="s">
        <v>96</v>
      </c>
      <c r="H157">
        <v>130</v>
      </c>
      <c r="I157">
        <v>7.2</v>
      </c>
      <c r="J157">
        <v>581941</v>
      </c>
      <c r="K157">
        <v>120.56</v>
      </c>
      <c r="L157">
        <v>25.08</v>
      </c>
      <c r="M157" t="s">
        <v>42</v>
      </c>
      <c r="N157" t="s">
        <v>119</v>
      </c>
      <c r="O157" t="s">
        <v>166</v>
      </c>
      <c r="P157" t="s">
        <v>26</v>
      </c>
      <c r="Q157" t="s">
        <v>54</v>
      </c>
    </row>
    <row r="158" spans="1:17" x14ac:dyDescent="0.3">
      <c r="A158" t="s">
        <v>422</v>
      </c>
      <c r="B158" t="s">
        <v>423</v>
      </c>
      <c r="C158" t="s">
        <v>86</v>
      </c>
      <c r="D158" t="s">
        <v>20</v>
      </c>
      <c r="E158" t="s">
        <v>21</v>
      </c>
      <c r="F158">
        <v>2025</v>
      </c>
      <c r="G158" t="s">
        <v>96</v>
      </c>
      <c r="H158">
        <v>175</v>
      </c>
      <c r="I158">
        <v>6.1</v>
      </c>
      <c r="J158">
        <v>100607</v>
      </c>
      <c r="K158">
        <v>9.07</v>
      </c>
      <c r="L158">
        <v>2.27</v>
      </c>
      <c r="M158" t="s">
        <v>23</v>
      </c>
      <c r="N158" t="s">
        <v>83</v>
      </c>
      <c r="O158" t="s">
        <v>141</v>
      </c>
      <c r="P158" t="s">
        <v>45</v>
      </c>
      <c r="Q158" t="s">
        <v>123</v>
      </c>
    </row>
    <row r="159" spans="1:17" x14ac:dyDescent="0.3">
      <c r="A159" t="s">
        <v>424</v>
      </c>
      <c r="B159" t="s">
        <v>425</v>
      </c>
      <c r="C159" t="s">
        <v>19</v>
      </c>
      <c r="D159" t="s">
        <v>87</v>
      </c>
      <c r="E159" t="s">
        <v>41</v>
      </c>
      <c r="F159">
        <v>2021</v>
      </c>
      <c r="G159" t="s">
        <v>108</v>
      </c>
      <c r="H159">
        <v>146</v>
      </c>
      <c r="I159">
        <v>7.7</v>
      </c>
      <c r="J159">
        <v>533825</v>
      </c>
      <c r="K159">
        <v>1350.05</v>
      </c>
      <c r="L159">
        <v>195.71</v>
      </c>
      <c r="M159" t="s">
        <v>42</v>
      </c>
      <c r="N159" t="s">
        <v>24</v>
      </c>
      <c r="O159" t="s">
        <v>105</v>
      </c>
      <c r="P159" t="s">
        <v>26</v>
      </c>
      <c r="Q159" t="s">
        <v>27</v>
      </c>
    </row>
    <row r="160" spans="1:17" x14ac:dyDescent="0.3">
      <c r="A160" t="s">
        <v>426</v>
      </c>
      <c r="B160" t="s">
        <v>427</v>
      </c>
      <c r="C160" t="s">
        <v>144</v>
      </c>
      <c r="D160" t="s">
        <v>20</v>
      </c>
      <c r="E160" t="s">
        <v>88</v>
      </c>
      <c r="F160">
        <v>2019</v>
      </c>
      <c r="G160" t="s">
        <v>32</v>
      </c>
      <c r="H160">
        <v>119</v>
      </c>
      <c r="I160">
        <v>7.6</v>
      </c>
      <c r="J160">
        <v>635592</v>
      </c>
      <c r="K160">
        <v>423.67</v>
      </c>
      <c r="L160">
        <v>161.87</v>
      </c>
      <c r="M160" t="s">
        <v>33</v>
      </c>
      <c r="N160" t="s">
        <v>52</v>
      </c>
      <c r="O160" t="s">
        <v>74</v>
      </c>
      <c r="P160" t="s">
        <v>45</v>
      </c>
      <c r="Q160" t="s">
        <v>60</v>
      </c>
    </row>
    <row r="161" spans="1:17" x14ac:dyDescent="0.3">
      <c r="A161" t="s">
        <v>428</v>
      </c>
      <c r="B161" t="s">
        <v>429</v>
      </c>
      <c r="C161" t="s">
        <v>39</v>
      </c>
      <c r="D161" t="s">
        <v>72</v>
      </c>
      <c r="E161" t="s">
        <v>41</v>
      </c>
      <c r="F161">
        <v>2025</v>
      </c>
      <c r="G161" t="s">
        <v>22</v>
      </c>
      <c r="H161">
        <v>103</v>
      </c>
      <c r="I161">
        <v>7.1</v>
      </c>
      <c r="J161">
        <v>589437</v>
      </c>
      <c r="K161">
        <v>787.56</v>
      </c>
      <c r="L161">
        <v>135.66999999999999</v>
      </c>
      <c r="M161" t="s">
        <v>42</v>
      </c>
      <c r="N161" t="s">
        <v>66</v>
      </c>
      <c r="O161" t="s">
        <v>166</v>
      </c>
      <c r="P161" t="s">
        <v>26</v>
      </c>
      <c r="Q161" t="s">
        <v>36</v>
      </c>
    </row>
    <row r="162" spans="1:17" x14ac:dyDescent="0.3">
      <c r="A162" t="s">
        <v>430</v>
      </c>
      <c r="B162" t="s">
        <v>431</v>
      </c>
      <c r="C162" t="s">
        <v>30</v>
      </c>
      <c r="D162" t="s">
        <v>87</v>
      </c>
      <c r="E162" t="s">
        <v>31</v>
      </c>
      <c r="F162">
        <v>2017</v>
      </c>
      <c r="G162" t="s">
        <v>93</v>
      </c>
      <c r="H162">
        <v>137</v>
      </c>
      <c r="I162">
        <v>8.6999999999999993</v>
      </c>
      <c r="J162">
        <v>26790</v>
      </c>
      <c r="K162">
        <v>325.08</v>
      </c>
      <c r="L162">
        <v>46.48</v>
      </c>
      <c r="M162" t="s">
        <v>42</v>
      </c>
      <c r="N162" t="s">
        <v>52</v>
      </c>
      <c r="O162" t="s">
        <v>141</v>
      </c>
      <c r="P162" t="s">
        <v>26</v>
      </c>
      <c r="Q162" t="s">
        <v>36</v>
      </c>
    </row>
    <row r="163" spans="1:17" x14ac:dyDescent="0.3">
      <c r="A163" t="s">
        <v>432</v>
      </c>
      <c r="B163" t="s">
        <v>433</v>
      </c>
      <c r="C163" t="s">
        <v>86</v>
      </c>
      <c r="D163" t="s">
        <v>20</v>
      </c>
      <c r="E163" t="s">
        <v>82</v>
      </c>
      <c r="F163">
        <v>2024</v>
      </c>
      <c r="G163" t="s">
        <v>108</v>
      </c>
      <c r="H163">
        <v>149</v>
      </c>
      <c r="I163">
        <v>6.5</v>
      </c>
      <c r="J163">
        <v>831081</v>
      </c>
      <c r="K163">
        <v>199.12</v>
      </c>
      <c r="L163">
        <v>185.25</v>
      </c>
      <c r="M163" t="s">
        <v>23</v>
      </c>
      <c r="N163" t="s">
        <v>34</v>
      </c>
      <c r="O163" t="s">
        <v>67</v>
      </c>
      <c r="P163" t="s">
        <v>45</v>
      </c>
      <c r="Q163" t="s">
        <v>36</v>
      </c>
    </row>
    <row r="164" spans="1:17" x14ac:dyDescent="0.3">
      <c r="A164" t="s">
        <v>434</v>
      </c>
      <c r="B164" t="s">
        <v>435</v>
      </c>
      <c r="C164" t="s">
        <v>130</v>
      </c>
      <c r="D164" t="s">
        <v>20</v>
      </c>
      <c r="E164" t="s">
        <v>41</v>
      </c>
      <c r="F164">
        <v>2016</v>
      </c>
      <c r="G164" t="s">
        <v>50</v>
      </c>
      <c r="H164">
        <v>132</v>
      </c>
      <c r="I164">
        <v>7.4</v>
      </c>
      <c r="J164">
        <v>384166</v>
      </c>
      <c r="K164">
        <v>403.76</v>
      </c>
      <c r="L164">
        <v>189.23</v>
      </c>
      <c r="M164" t="s">
        <v>33</v>
      </c>
      <c r="N164" t="s">
        <v>101</v>
      </c>
      <c r="O164" t="s">
        <v>53</v>
      </c>
      <c r="P164" t="s">
        <v>26</v>
      </c>
      <c r="Q164" t="s">
        <v>152</v>
      </c>
    </row>
    <row r="165" spans="1:17" x14ac:dyDescent="0.3">
      <c r="A165" t="s">
        <v>436</v>
      </c>
      <c r="B165" t="s">
        <v>437</v>
      </c>
      <c r="C165" t="s">
        <v>30</v>
      </c>
      <c r="D165" t="s">
        <v>87</v>
      </c>
      <c r="E165" t="s">
        <v>41</v>
      </c>
      <c r="F165">
        <v>2019</v>
      </c>
      <c r="G165" t="s">
        <v>77</v>
      </c>
      <c r="H165">
        <v>164</v>
      </c>
      <c r="I165">
        <v>6.8</v>
      </c>
      <c r="J165">
        <v>893940</v>
      </c>
      <c r="K165">
        <v>443.96</v>
      </c>
      <c r="L165">
        <v>83.48</v>
      </c>
      <c r="M165" t="s">
        <v>42</v>
      </c>
      <c r="N165" t="s">
        <v>34</v>
      </c>
      <c r="O165" t="s">
        <v>67</v>
      </c>
      <c r="P165" t="s">
        <v>45</v>
      </c>
      <c r="Q165" t="s">
        <v>152</v>
      </c>
    </row>
    <row r="166" spans="1:17" x14ac:dyDescent="0.3">
      <c r="A166" t="s">
        <v>438</v>
      </c>
      <c r="B166" t="s">
        <v>439</v>
      </c>
      <c r="C166" t="s">
        <v>116</v>
      </c>
      <c r="D166" t="s">
        <v>64</v>
      </c>
      <c r="E166" t="s">
        <v>82</v>
      </c>
      <c r="F166">
        <v>2018</v>
      </c>
      <c r="G166" t="s">
        <v>93</v>
      </c>
      <c r="H166">
        <v>95</v>
      </c>
      <c r="I166">
        <v>8</v>
      </c>
      <c r="J166">
        <v>446240</v>
      </c>
      <c r="K166">
        <v>1049.1099999999999</v>
      </c>
      <c r="L166">
        <v>173.32</v>
      </c>
      <c r="M166" t="s">
        <v>42</v>
      </c>
      <c r="N166" t="s">
        <v>73</v>
      </c>
      <c r="O166" t="s">
        <v>67</v>
      </c>
      <c r="P166" t="s">
        <v>26</v>
      </c>
      <c r="Q166" t="s">
        <v>152</v>
      </c>
    </row>
    <row r="167" spans="1:17" x14ac:dyDescent="0.3">
      <c r="A167" t="s">
        <v>440</v>
      </c>
      <c r="B167" t="s">
        <v>441</v>
      </c>
      <c r="C167" t="s">
        <v>19</v>
      </c>
      <c r="D167" t="s">
        <v>20</v>
      </c>
      <c r="E167" t="s">
        <v>41</v>
      </c>
      <c r="F167">
        <v>2025</v>
      </c>
      <c r="G167" t="s">
        <v>113</v>
      </c>
      <c r="H167">
        <v>131</v>
      </c>
      <c r="I167">
        <v>8.1</v>
      </c>
      <c r="J167">
        <v>453048</v>
      </c>
      <c r="K167">
        <v>101.6</v>
      </c>
      <c r="L167">
        <v>19.350000000000001</v>
      </c>
      <c r="M167" t="s">
        <v>78</v>
      </c>
      <c r="N167" t="s">
        <v>83</v>
      </c>
      <c r="O167" t="s">
        <v>136</v>
      </c>
      <c r="P167" t="s">
        <v>26</v>
      </c>
      <c r="Q167" t="s">
        <v>123</v>
      </c>
    </row>
    <row r="168" spans="1:17" x14ac:dyDescent="0.3">
      <c r="A168" t="s">
        <v>442</v>
      </c>
      <c r="B168" t="s">
        <v>443</v>
      </c>
      <c r="C168" t="s">
        <v>39</v>
      </c>
      <c r="D168" t="s">
        <v>72</v>
      </c>
      <c r="E168" t="s">
        <v>41</v>
      </c>
      <c r="F168">
        <v>2020</v>
      </c>
      <c r="G168" t="s">
        <v>113</v>
      </c>
      <c r="H168">
        <v>172</v>
      </c>
      <c r="I168">
        <v>6.8</v>
      </c>
      <c r="J168">
        <v>513062</v>
      </c>
      <c r="K168">
        <v>442.55</v>
      </c>
      <c r="L168">
        <v>64.28</v>
      </c>
      <c r="M168" t="s">
        <v>42</v>
      </c>
      <c r="N168" t="s">
        <v>43</v>
      </c>
      <c r="O168" t="s">
        <v>25</v>
      </c>
      <c r="P168" t="s">
        <v>26</v>
      </c>
      <c r="Q168" t="s">
        <v>152</v>
      </c>
    </row>
    <row r="169" spans="1:17" x14ac:dyDescent="0.3">
      <c r="A169" t="s">
        <v>444</v>
      </c>
      <c r="B169" t="s">
        <v>445</v>
      </c>
      <c r="C169" t="s">
        <v>130</v>
      </c>
      <c r="D169" t="s">
        <v>20</v>
      </c>
      <c r="E169" t="s">
        <v>41</v>
      </c>
      <c r="F169">
        <v>2024</v>
      </c>
      <c r="G169" t="s">
        <v>108</v>
      </c>
      <c r="H169">
        <v>172</v>
      </c>
      <c r="I169">
        <v>7.6</v>
      </c>
      <c r="J169">
        <v>728156</v>
      </c>
      <c r="K169">
        <v>350.81</v>
      </c>
      <c r="L169">
        <v>101.63</v>
      </c>
      <c r="M169" t="s">
        <v>78</v>
      </c>
      <c r="N169" t="s">
        <v>24</v>
      </c>
      <c r="O169" t="s">
        <v>141</v>
      </c>
      <c r="P169" t="s">
        <v>26</v>
      </c>
      <c r="Q169" t="s">
        <v>123</v>
      </c>
    </row>
    <row r="170" spans="1:17" x14ac:dyDescent="0.3">
      <c r="A170" t="s">
        <v>446</v>
      </c>
      <c r="B170" t="s">
        <v>447</v>
      </c>
      <c r="C170" t="s">
        <v>39</v>
      </c>
      <c r="D170" t="s">
        <v>40</v>
      </c>
      <c r="E170" t="s">
        <v>41</v>
      </c>
      <c r="F170">
        <v>2018</v>
      </c>
      <c r="G170" t="s">
        <v>155</v>
      </c>
      <c r="H170">
        <v>145</v>
      </c>
      <c r="I170">
        <v>7</v>
      </c>
      <c r="J170">
        <v>729331</v>
      </c>
      <c r="K170">
        <v>682.45</v>
      </c>
      <c r="L170">
        <v>173.58</v>
      </c>
      <c r="M170" t="s">
        <v>42</v>
      </c>
      <c r="N170" t="s">
        <v>119</v>
      </c>
      <c r="O170" t="s">
        <v>136</v>
      </c>
      <c r="P170" t="s">
        <v>45</v>
      </c>
      <c r="Q170" t="s">
        <v>54</v>
      </c>
    </row>
    <row r="171" spans="1:17" x14ac:dyDescent="0.3">
      <c r="A171" t="s">
        <v>448</v>
      </c>
      <c r="B171" t="s">
        <v>449</v>
      </c>
      <c r="C171" t="s">
        <v>19</v>
      </c>
      <c r="D171" t="s">
        <v>57</v>
      </c>
      <c r="E171" t="s">
        <v>41</v>
      </c>
      <c r="F171">
        <v>2020</v>
      </c>
      <c r="G171" t="s">
        <v>50</v>
      </c>
      <c r="H171">
        <v>158</v>
      </c>
      <c r="I171">
        <v>7.4</v>
      </c>
      <c r="J171">
        <v>4683</v>
      </c>
      <c r="K171">
        <v>921.31</v>
      </c>
      <c r="L171">
        <v>129.81</v>
      </c>
      <c r="M171" t="s">
        <v>58</v>
      </c>
      <c r="N171" t="s">
        <v>89</v>
      </c>
      <c r="O171" t="s">
        <v>25</v>
      </c>
      <c r="P171" t="s">
        <v>26</v>
      </c>
      <c r="Q171" t="s">
        <v>68</v>
      </c>
    </row>
    <row r="172" spans="1:17" x14ac:dyDescent="0.3">
      <c r="A172" t="s">
        <v>450</v>
      </c>
      <c r="B172" t="s">
        <v>451</v>
      </c>
      <c r="C172" t="s">
        <v>116</v>
      </c>
      <c r="D172" t="s">
        <v>87</v>
      </c>
      <c r="E172" t="s">
        <v>88</v>
      </c>
      <c r="F172">
        <v>2019</v>
      </c>
      <c r="G172" t="s">
        <v>93</v>
      </c>
      <c r="H172">
        <v>159</v>
      </c>
      <c r="I172">
        <v>5.9</v>
      </c>
      <c r="J172">
        <v>96474</v>
      </c>
      <c r="K172">
        <v>419.22</v>
      </c>
      <c r="L172">
        <v>118.56</v>
      </c>
      <c r="M172" t="s">
        <v>42</v>
      </c>
      <c r="N172" t="s">
        <v>145</v>
      </c>
      <c r="O172" t="s">
        <v>199</v>
      </c>
      <c r="P172" t="s">
        <v>26</v>
      </c>
      <c r="Q172" t="s">
        <v>54</v>
      </c>
    </row>
    <row r="173" spans="1:17" x14ac:dyDescent="0.3">
      <c r="A173" t="s">
        <v>452</v>
      </c>
      <c r="B173" t="s">
        <v>453</v>
      </c>
      <c r="C173" t="s">
        <v>104</v>
      </c>
      <c r="D173" t="s">
        <v>81</v>
      </c>
      <c r="E173" t="s">
        <v>88</v>
      </c>
      <c r="F173">
        <v>2015</v>
      </c>
      <c r="G173" t="s">
        <v>100</v>
      </c>
      <c r="H173">
        <v>145</v>
      </c>
      <c r="I173">
        <v>7.1</v>
      </c>
      <c r="J173">
        <v>740608</v>
      </c>
      <c r="K173">
        <v>582.57000000000005</v>
      </c>
      <c r="L173">
        <v>118.34</v>
      </c>
      <c r="M173" t="s">
        <v>42</v>
      </c>
      <c r="N173" t="s">
        <v>73</v>
      </c>
      <c r="O173" t="s">
        <v>44</v>
      </c>
      <c r="P173" t="s">
        <v>26</v>
      </c>
      <c r="Q173" t="s">
        <v>68</v>
      </c>
    </row>
    <row r="174" spans="1:17" x14ac:dyDescent="0.3">
      <c r="A174" t="s">
        <v>454</v>
      </c>
      <c r="B174" t="s">
        <v>455</v>
      </c>
      <c r="C174" t="s">
        <v>86</v>
      </c>
      <c r="D174" t="s">
        <v>20</v>
      </c>
      <c r="E174" t="s">
        <v>41</v>
      </c>
      <c r="F174">
        <v>2025</v>
      </c>
      <c r="G174" t="s">
        <v>113</v>
      </c>
      <c r="H174">
        <v>117</v>
      </c>
      <c r="I174">
        <v>5.4</v>
      </c>
      <c r="J174">
        <v>580377</v>
      </c>
      <c r="K174">
        <v>494.89</v>
      </c>
      <c r="L174">
        <v>97.4</v>
      </c>
      <c r="M174" t="s">
        <v>78</v>
      </c>
      <c r="N174" t="s">
        <v>66</v>
      </c>
      <c r="O174" t="s">
        <v>199</v>
      </c>
      <c r="P174" t="s">
        <v>45</v>
      </c>
      <c r="Q174" t="s">
        <v>68</v>
      </c>
    </row>
    <row r="175" spans="1:17" x14ac:dyDescent="0.3">
      <c r="A175" t="s">
        <v>456</v>
      </c>
      <c r="B175" t="s">
        <v>457</v>
      </c>
      <c r="C175" t="s">
        <v>86</v>
      </c>
      <c r="D175" t="s">
        <v>87</v>
      </c>
      <c r="E175" t="s">
        <v>21</v>
      </c>
      <c r="F175">
        <v>2020</v>
      </c>
      <c r="G175" t="s">
        <v>100</v>
      </c>
      <c r="H175">
        <v>122</v>
      </c>
      <c r="I175">
        <v>6.3</v>
      </c>
      <c r="J175">
        <v>176445</v>
      </c>
      <c r="K175">
        <v>75.14</v>
      </c>
      <c r="L175">
        <v>10.76</v>
      </c>
      <c r="M175" t="s">
        <v>42</v>
      </c>
      <c r="N175" t="s">
        <v>24</v>
      </c>
      <c r="O175" t="s">
        <v>44</v>
      </c>
      <c r="P175" t="s">
        <v>26</v>
      </c>
      <c r="Q175" t="s">
        <v>123</v>
      </c>
    </row>
    <row r="176" spans="1:17" x14ac:dyDescent="0.3">
      <c r="A176" t="s">
        <v>458</v>
      </c>
      <c r="B176" t="s">
        <v>459</v>
      </c>
      <c r="C176" t="s">
        <v>39</v>
      </c>
      <c r="D176" t="s">
        <v>20</v>
      </c>
      <c r="E176" t="s">
        <v>139</v>
      </c>
      <c r="F176">
        <v>2024</v>
      </c>
      <c r="G176" t="s">
        <v>22</v>
      </c>
      <c r="H176">
        <v>151</v>
      </c>
      <c r="I176">
        <v>7.1</v>
      </c>
      <c r="J176">
        <v>765405</v>
      </c>
      <c r="K176">
        <v>650.64</v>
      </c>
      <c r="L176">
        <v>158.69999999999999</v>
      </c>
      <c r="M176" t="s">
        <v>23</v>
      </c>
      <c r="N176" t="s">
        <v>66</v>
      </c>
      <c r="O176" t="s">
        <v>141</v>
      </c>
      <c r="P176" t="s">
        <v>26</v>
      </c>
      <c r="Q176" t="s">
        <v>36</v>
      </c>
    </row>
    <row r="177" spans="1:17" x14ac:dyDescent="0.3">
      <c r="A177" t="s">
        <v>460</v>
      </c>
      <c r="B177" t="s">
        <v>461</v>
      </c>
      <c r="C177" t="s">
        <v>39</v>
      </c>
      <c r="D177" t="s">
        <v>20</v>
      </c>
      <c r="E177" t="s">
        <v>31</v>
      </c>
      <c r="F177">
        <v>2021</v>
      </c>
      <c r="G177" t="s">
        <v>22</v>
      </c>
      <c r="H177">
        <v>151</v>
      </c>
      <c r="I177">
        <v>7</v>
      </c>
      <c r="J177">
        <v>151131</v>
      </c>
      <c r="K177">
        <v>545.17999999999995</v>
      </c>
      <c r="L177">
        <v>99.91</v>
      </c>
      <c r="M177" t="s">
        <v>51</v>
      </c>
      <c r="N177" t="s">
        <v>24</v>
      </c>
      <c r="O177" t="s">
        <v>120</v>
      </c>
      <c r="P177" t="s">
        <v>26</v>
      </c>
      <c r="Q177" t="s">
        <v>54</v>
      </c>
    </row>
    <row r="178" spans="1:17" x14ac:dyDescent="0.3">
      <c r="A178" t="s">
        <v>462</v>
      </c>
      <c r="B178" t="s">
        <v>463</v>
      </c>
      <c r="C178" t="s">
        <v>30</v>
      </c>
      <c r="D178" t="s">
        <v>87</v>
      </c>
      <c r="E178" t="s">
        <v>88</v>
      </c>
      <c r="F178">
        <v>2025</v>
      </c>
      <c r="G178" t="s">
        <v>126</v>
      </c>
      <c r="H178">
        <v>102</v>
      </c>
      <c r="I178">
        <v>6.8</v>
      </c>
      <c r="J178">
        <v>187943</v>
      </c>
      <c r="K178">
        <v>852.3</v>
      </c>
      <c r="L178">
        <v>248.23</v>
      </c>
      <c r="M178" t="s">
        <v>42</v>
      </c>
      <c r="N178" t="s">
        <v>24</v>
      </c>
      <c r="O178" t="s">
        <v>141</v>
      </c>
      <c r="P178" t="s">
        <v>26</v>
      </c>
      <c r="Q178" t="s">
        <v>68</v>
      </c>
    </row>
    <row r="179" spans="1:17" x14ac:dyDescent="0.3">
      <c r="A179" t="s">
        <v>464</v>
      </c>
      <c r="B179" t="s">
        <v>465</v>
      </c>
      <c r="C179" t="s">
        <v>39</v>
      </c>
      <c r="D179" t="s">
        <v>87</v>
      </c>
      <c r="E179" t="s">
        <v>31</v>
      </c>
      <c r="F179">
        <v>2022</v>
      </c>
      <c r="G179" t="s">
        <v>77</v>
      </c>
      <c r="H179">
        <v>104</v>
      </c>
      <c r="I179">
        <v>7.2</v>
      </c>
      <c r="J179">
        <v>145931</v>
      </c>
      <c r="K179">
        <v>457.82</v>
      </c>
      <c r="L179">
        <v>67.72</v>
      </c>
      <c r="M179" t="s">
        <v>42</v>
      </c>
      <c r="N179" t="s">
        <v>179</v>
      </c>
      <c r="O179" t="s">
        <v>44</v>
      </c>
      <c r="P179" t="s">
        <v>26</v>
      </c>
      <c r="Q179" t="s">
        <v>152</v>
      </c>
    </row>
    <row r="180" spans="1:17" x14ac:dyDescent="0.3">
      <c r="A180" t="s">
        <v>466</v>
      </c>
      <c r="B180" t="s">
        <v>467</v>
      </c>
      <c r="C180" t="s">
        <v>48</v>
      </c>
      <c r="D180" t="s">
        <v>20</v>
      </c>
      <c r="E180" t="s">
        <v>31</v>
      </c>
      <c r="F180">
        <v>2018</v>
      </c>
      <c r="G180" t="s">
        <v>22</v>
      </c>
      <c r="H180">
        <v>126</v>
      </c>
      <c r="I180">
        <v>6.4</v>
      </c>
      <c r="J180">
        <v>292573</v>
      </c>
      <c r="K180">
        <v>1201.48</v>
      </c>
      <c r="L180">
        <v>188.5</v>
      </c>
      <c r="M180" t="s">
        <v>78</v>
      </c>
      <c r="N180" t="s">
        <v>119</v>
      </c>
      <c r="O180" t="s">
        <v>148</v>
      </c>
      <c r="P180" t="s">
        <v>26</v>
      </c>
      <c r="Q180" t="s">
        <v>152</v>
      </c>
    </row>
    <row r="181" spans="1:17" x14ac:dyDescent="0.3">
      <c r="A181" t="s">
        <v>468</v>
      </c>
      <c r="B181" t="s">
        <v>469</v>
      </c>
      <c r="C181" t="s">
        <v>86</v>
      </c>
      <c r="D181" t="s">
        <v>87</v>
      </c>
      <c r="E181" t="s">
        <v>82</v>
      </c>
      <c r="F181">
        <v>2020</v>
      </c>
      <c r="G181" t="s">
        <v>126</v>
      </c>
      <c r="H181">
        <v>119</v>
      </c>
      <c r="I181">
        <v>8.1999999999999993</v>
      </c>
      <c r="J181">
        <v>840864</v>
      </c>
      <c r="K181">
        <v>81.96</v>
      </c>
      <c r="L181">
        <v>22.49</v>
      </c>
      <c r="M181" t="s">
        <v>42</v>
      </c>
      <c r="N181" t="s">
        <v>83</v>
      </c>
      <c r="O181" t="s">
        <v>120</v>
      </c>
      <c r="P181" t="s">
        <v>45</v>
      </c>
      <c r="Q181" t="s">
        <v>54</v>
      </c>
    </row>
    <row r="182" spans="1:17" x14ac:dyDescent="0.3">
      <c r="A182" t="s">
        <v>470</v>
      </c>
      <c r="B182" t="s">
        <v>471</v>
      </c>
      <c r="C182" t="s">
        <v>19</v>
      </c>
      <c r="D182" t="s">
        <v>87</v>
      </c>
      <c r="E182" t="s">
        <v>41</v>
      </c>
      <c r="F182">
        <v>2025</v>
      </c>
      <c r="G182" t="s">
        <v>113</v>
      </c>
      <c r="H182">
        <v>93</v>
      </c>
      <c r="I182">
        <v>7.2</v>
      </c>
      <c r="J182">
        <v>531099</v>
      </c>
      <c r="K182">
        <v>138.69</v>
      </c>
      <c r="L182">
        <v>115.09</v>
      </c>
      <c r="M182" t="s">
        <v>42</v>
      </c>
      <c r="N182" t="s">
        <v>145</v>
      </c>
      <c r="O182" t="s">
        <v>67</v>
      </c>
      <c r="P182" t="s">
        <v>26</v>
      </c>
      <c r="Q182" t="s">
        <v>152</v>
      </c>
    </row>
    <row r="183" spans="1:17" x14ac:dyDescent="0.3">
      <c r="A183" t="s">
        <v>472</v>
      </c>
      <c r="B183" t="s">
        <v>473</v>
      </c>
      <c r="C183" t="s">
        <v>39</v>
      </c>
      <c r="D183" t="s">
        <v>64</v>
      </c>
      <c r="E183" t="s">
        <v>82</v>
      </c>
      <c r="F183">
        <v>2017</v>
      </c>
      <c r="G183" t="s">
        <v>77</v>
      </c>
      <c r="H183">
        <v>149</v>
      </c>
      <c r="I183">
        <v>7.1</v>
      </c>
      <c r="J183">
        <v>707157</v>
      </c>
      <c r="K183">
        <v>629.59</v>
      </c>
      <c r="L183">
        <v>183.43</v>
      </c>
      <c r="M183" t="s">
        <v>42</v>
      </c>
      <c r="N183" t="s">
        <v>52</v>
      </c>
      <c r="O183" t="s">
        <v>97</v>
      </c>
      <c r="P183" t="s">
        <v>26</v>
      </c>
      <c r="Q183" t="s">
        <v>36</v>
      </c>
    </row>
    <row r="184" spans="1:17" x14ac:dyDescent="0.3">
      <c r="A184" t="s">
        <v>474</v>
      </c>
      <c r="B184" t="s">
        <v>475</v>
      </c>
      <c r="C184" t="s">
        <v>71</v>
      </c>
      <c r="D184" t="s">
        <v>87</v>
      </c>
      <c r="E184" t="s">
        <v>41</v>
      </c>
      <c r="F184">
        <v>2015</v>
      </c>
      <c r="G184" t="s">
        <v>93</v>
      </c>
      <c r="H184">
        <v>141</v>
      </c>
      <c r="I184">
        <v>6.7</v>
      </c>
      <c r="J184">
        <v>436610</v>
      </c>
      <c r="K184">
        <v>264.56</v>
      </c>
      <c r="L184">
        <v>122.09</v>
      </c>
      <c r="M184" t="s">
        <v>42</v>
      </c>
      <c r="N184" t="s">
        <v>34</v>
      </c>
      <c r="O184" t="s">
        <v>136</v>
      </c>
      <c r="P184" t="s">
        <v>26</v>
      </c>
      <c r="Q184" t="s">
        <v>27</v>
      </c>
    </row>
    <row r="185" spans="1:17" x14ac:dyDescent="0.3">
      <c r="A185" t="s">
        <v>476</v>
      </c>
      <c r="B185" t="s">
        <v>477</v>
      </c>
      <c r="C185" t="s">
        <v>19</v>
      </c>
      <c r="D185" t="s">
        <v>87</v>
      </c>
      <c r="E185" t="s">
        <v>88</v>
      </c>
      <c r="F185">
        <v>2021</v>
      </c>
      <c r="G185" t="s">
        <v>50</v>
      </c>
      <c r="H185">
        <v>139</v>
      </c>
      <c r="J185">
        <v>40357</v>
      </c>
      <c r="K185">
        <v>765.35</v>
      </c>
      <c r="L185">
        <v>134.38</v>
      </c>
      <c r="M185" t="s">
        <v>42</v>
      </c>
      <c r="N185" t="s">
        <v>66</v>
      </c>
      <c r="O185" t="s">
        <v>136</v>
      </c>
      <c r="P185" t="s">
        <v>45</v>
      </c>
      <c r="Q185" t="s">
        <v>36</v>
      </c>
    </row>
    <row r="186" spans="1:17" x14ac:dyDescent="0.3">
      <c r="A186" t="s">
        <v>478</v>
      </c>
      <c r="B186" t="s">
        <v>479</v>
      </c>
      <c r="C186" t="s">
        <v>19</v>
      </c>
      <c r="D186" t="s">
        <v>87</v>
      </c>
      <c r="E186" t="s">
        <v>41</v>
      </c>
      <c r="F186">
        <v>2023</v>
      </c>
      <c r="G186" t="s">
        <v>113</v>
      </c>
      <c r="H186">
        <v>130</v>
      </c>
      <c r="I186">
        <v>7</v>
      </c>
      <c r="J186">
        <v>42119</v>
      </c>
      <c r="L186">
        <v>137.94</v>
      </c>
      <c r="M186" t="s">
        <v>42</v>
      </c>
      <c r="N186" t="s">
        <v>34</v>
      </c>
      <c r="O186" t="s">
        <v>141</v>
      </c>
      <c r="P186" t="s">
        <v>26</v>
      </c>
      <c r="Q186" t="s">
        <v>152</v>
      </c>
    </row>
    <row r="187" spans="1:17" x14ac:dyDescent="0.3">
      <c r="A187" t="s">
        <v>480</v>
      </c>
      <c r="B187" t="s">
        <v>481</v>
      </c>
      <c r="C187" t="s">
        <v>63</v>
      </c>
      <c r="D187" t="s">
        <v>20</v>
      </c>
      <c r="E187" t="s">
        <v>31</v>
      </c>
      <c r="F187">
        <v>2024</v>
      </c>
      <c r="G187" t="s">
        <v>126</v>
      </c>
      <c r="H187">
        <v>184</v>
      </c>
      <c r="I187">
        <v>8.4</v>
      </c>
      <c r="J187">
        <v>507783</v>
      </c>
      <c r="K187">
        <v>742.73</v>
      </c>
      <c r="L187">
        <v>117.29</v>
      </c>
      <c r="M187" t="s">
        <v>78</v>
      </c>
      <c r="N187" t="s">
        <v>34</v>
      </c>
      <c r="O187" t="s">
        <v>141</v>
      </c>
      <c r="P187" t="s">
        <v>26</v>
      </c>
      <c r="Q187" t="s">
        <v>54</v>
      </c>
    </row>
    <row r="188" spans="1:17" x14ac:dyDescent="0.3">
      <c r="A188" t="s">
        <v>482</v>
      </c>
      <c r="B188" t="s">
        <v>483</v>
      </c>
      <c r="C188" t="s">
        <v>130</v>
      </c>
      <c r="D188" t="s">
        <v>215</v>
      </c>
      <c r="E188" t="s">
        <v>41</v>
      </c>
      <c r="F188">
        <v>2021</v>
      </c>
      <c r="G188" t="s">
        <v>50</v>
      </c>
      <c r="H188">
        <v>167</v>
      </c>
      <c r="I188">
        <v>7.6</v>
      </c>
      <c r="J188">
        <v>286759</v>
      </c>
      <c r="K188">
        <v>90.7</v>
      </c>
      <c r="L188">
        <v>35.83</v>
      </c>
      <c r="M188" t="s">
        <v>484</v>
      </c>
      <c r="N188" t="s">
        <v>145</v>
      </c>
      <c r="O188" t="s">
        <v>127</v>
      </c>
      <c r="P188" t="s">
        <v>26</v>
      </c>
      <c r="Q188" t="s">
        <v>123</v>
      </c>
    </row>
    <row r="189" spans="1:17" x14ac:dyDescent="0.3">
      <c r="A189" t="s">
        <v>485</v>
      </c>
      <c r="B189" t="s">
        <v>486</v>
      </c>
      <c r="C189" t="s">
        <v>130</v>
      </c>
      <c r="D189" t="s">
        <v>87</v>
      </c>
      <c r="E189" t="s">
        <v>49</v>
      </c>
      <c r="F189">
        <v>2020</v>
      </c>
      <c r="G189" t="s">
        <v>32</v>
      </c>
      <c r="H189">
        <v>99</v>
      </c>
      <c r="I189">
        <v>7</v>
      </c>
      <c r="J189">
        <v>146995</v>
      </c>
      <c r="K189">
        <v>269.36</v>
      </c>
      <c r="L189">
        <v>170.15</v>
      </c>
      <c r="M189" t="s">
        <v>42</v>
      </c>
      <c r="N189" t="s">
        <v>109</v>
      </c>
      <c r="O189" t="s">
        <v>141</v>
      </c>
      <c r="P189" t="s">
        <v>26</v>
      </c>
      <c r="Q189" t="s">
        <v>54</v>
      </c>
    </row>
    <row r="190" spans="1:17" x14ac:dyDescent="0.3">
      <c r="A190" t="s">
        <v>487</v>
      </c>
      <c r="B190" t="s">
        <v>488</v>
      </c>
      <c r="C190" t="s">
        <v>19</v>
      </c>
      <c r="D190" t="s">
        <v>20</v>
      </c>
      <c r="E190" t="s">
        <v>49</v>
      </c>
      <c r="F190">
        <v>2015</v>
      </c>
      <c r="G190" t="s">
        <v>126</v>
      </c>
      <c r="H190">
        <v>104</v>
      </c>
      <c r="I190">
        <v>7.1</v>
      </c>
      <c r="J190">
        <v>124261</v>
      </c>
      <c r="K190">
        <v>700.24</v>
      </c>
      <c r="L190">
        <v>94.12</v>
      </c>
      <c r="M190" t="s">
        <v>78</v>
      </c>
      <c r="N190" t="s">
        <v>140</v>
      </c>
      <c r="O190" t="s">
        <v>67</v>
      </c>
      <c r="P190" t="s">
        <v>26</v>
      </c>
      <c r="Q190" t="s">
        <v>68</v>
      </c>
    </row>
    <row r="191" spans="1:17" x14ac:dyDescent="0.3">
      <c r="A191" t="s">
        <v>489</v>
      </c>
      <c r="B191" t="s">
        <v>490</v>
      </c>
      <c r="C191" t="s">
        <v>19</v>
      </c>
      <c r="D191" t="s">
        <v>57</v>
      </c>
      <c r="E191" t="s">
        <v>82</v>
      </c>
      <c r="F191">
        <v>2024</v>
      </c>
      <c r="G191" t="s">
        <v>155</v>
      </c>
      <c r="H191">
        <v>133</v>
      </c>
      <c r="I191">
        <v>5.3</v>
      </c>
      <c r="J191">
        <v>90656</v>
      </c>
      <c r="K191">
        <v>537.74</v>
      </c>
      <c r="L191">
        <v>193.5</v>
      </c>
      <c r="M191" t="s">
        <v>58</v>
      </c>
      <c r="N191" t="s">
        <v>24</v>
      </c>
      <c r="O191" t="s">
        <v>148</v>
      </c>
      <c r="P191" t="s">
        <v>26</v>
      </c>
      <c r="Q191" t="s">
        <v>54</v>
      </c>
    </row>
    <row r="192" spans="1:17" x14ac:dyDescent="0.3">
      <c r="A192" t="s">
        <v>491</v>
      </c>
      <c r="B192" t="s">
        <v>492</v>
      </c>
      <c r="C192" t="s">
        <v>39</v>
      </c>
      <c r="D192" t="s">
        <v>64</v>
      </c>
      <c r="E192" t="s">
        <v>41</v>
      </c>
      <c r="F192">
        <v>2020</v>
      </c>
      <c r="G192" t="s">
        <v>93</v>
      </c>
      <c r="H192">
        <v>91</v>
      </c>
      <c r="I192">
        <v>7.1</v>
      </c>
      <c r="J192">
        <v>265542</v>
      </c>
      <c r="K192">
        <v>941.7</v>
      </c>
      <c r="L192">
        <v>235.38</v>
      </c>
      <c r="M192" t="s">
        <v>42</v>
      </c>
      <c r="N192" t="s">
        <v>109</v>
      </c>
      <c r="O192" t="s">
        <v>67</v>
      </c>
      <c r="P192" t="s">
        <v>26</v>
      </c>
      <c r="Q192" t="s">
        <v>60</v>
      </c>
    </row>
    <row r="193" spans="1:17" x14ac:dyDescent="0.3">
      <c r="A193" t="s">
        <v>493</v>
      </c>
      <c r="B193" t="s">
        <v>494</v>
      </c>
      <c r="C193" t="s">
        <v>48</v>
      </c>
      <c r="D193" t="s">
        <v>20</v>
      </c>
      <c r="E193" t="s">
        <v>31</v>
      </c>
      <c r="F193">
        <v>2016</v>
      </c>
      <c r="G193" t="s">
        <v>32</v>
      </c>
      <c r="H193">
        <v>111</v>
      </c>
      <c r="I193">
        <v>8.1</v>
      </c>
      <c r="J193">
        <v>434953</v>
      </c>
      <c r="K193">
        <v>41.73</v>
      </c>
      <c r="L193">
        <v>13.28</v>
      </c>
      <c r="M193" t="s">
        <v>23</v>
      </c>
      <c r="N193" t="s">
        <v>73</v>
      </c>
      <c r="O193" t="s">
        <v>151</v>
      </c>
      <c r="P193" t="s">
        <v>26</v>
      </c>
      <c r="Q193" t="s">
        <v>54</v>
      </c>
    </row>
    <row r="194" spans="1:17" x14ac:dyDescent="0.3">
      <c r="A194" t="s">
        <v>495</v>
      </c>
      <c r="B194" t="s">
        <v>496</v>
      </c>
      <c r="C194" t="s">
        <v>39</v>
      </c>
      <c r="D194" t="s">
        <v>81</v>
      </c>
      <c r="E194" t="s">
        <v>82</v>
      </c>
      <c r="F194">
        <v>2016</v>
      </c>
      <c r="G194" t="s">
        <v>108</v>
      </c>
      <c r="H194">
        <v>164</v>
      </c>
      <c r="I194">
        <v>7.1</v>
      </c>
      <c r="J194">
        <v>669307</v>
      </c>
      <c r="K194">
        <v>326.12</v>
      </c>
      <c r="L194">
        <v>77.540000000000006</v>
      </c>
      <c r="M194" t="s">
        <v>42</v>
      </c>
      <c r="N194" t="s">
        <v>145</v>
      </c>
      <c r="O194" t="s">
        <v>59</v>
      </c>
      <c r="P194" t="s">
        <v>26</v>
      </c>
      <c r="Q194" t="s">
        <v>54</v>
      </c>
    </row>
    <row r="195" spans="1:17" x14ac:dyDescent="0.3">
      <c r="A195" t="s">
        <v>497</v>
      </c>
      <c r="B195" t="s">
        <v>498</v>
      </c>
      <c r="C195" t="s">
        <v>130</v>
      </c>
      <c r="D195" t="s">
        <v>211</v>
      </c>
      <c r="E195" t="s">
        <v>139</v>
      </c>
      <c r="F195">
        <v>2024</v>
      </c>
      <c r="G195" t="s">
        <v>50</v>
      </c>
      <c r="H195">
        <v>108</v>
      </c>
      <c r="I195">
        <v>6</v>
      </c>
      <c r="J195">
        <v>788847</v>
      </c>
      <c r="K195">
        <v>513.64</v>
      </c>
      <c r="L195">
        <v>78.45</v>
      </c>
      <c r="M195" t="s">
        <v>212</v>
      </c>
      <c r="N195" t="s">
        <v>140</v>
      </c>
      <c r="O195" t="s">
        <v>25</v>
      </c>
      <c r="P195" t="s">
        <v>26</v>
      </c>
      <c r="Q195" t="s">
        <v>27</v>
      </c>
    </row>
    <row r="196" spans="1:17" x14ac:dyDescent="0.3">
      <c r="A196" t="s">
        <v>499</v>
      </c>
      <c r="B196" t="s">
        <v>500</v>
      </c>
      <c r="C196" t="s">
        <v>86</v>
      </c>
      <c r="D196" t="s">
        <v>72</v>
      </c>
      <c r="E196" t="s">
        <v>31</v>
      </c>
      <c r="F196">
        <v>2018</v>
      </c>
      <c r="G196" t="s">
        <v>113</v>
      </c>
      <c r="H196">
        <v>116</v>
      </c>
      <c r="I196">
        <v>7.6</v>
      </c>
      <c r="J196">
        <v>817576</v>
      </c>
      <c r="K196">
        <v>198.23</v>
      </c>
      <c r="L196">
        <v>28.46</v>
      </c>
      <c r="M196" t="s">
        <v>42</v>
      </c>
      <c r="N196" t="s">
        <v>83</v>
      </c>
      <c r="O196" t="s">
        <v>35</v>
      </c>
      <c r="P196" t="s">
        <v>45</v>
      </c>
      <c r="Q196" t="s">
        <v>152</v>
      </c>
    </row>
    <row r="197" spans="1:17" x14ac:dyDescent="0.3">
      <c r="A197" t="s">
        <v>501</v>
      </c>
      <c r="B197" t="s">
        <v>502</v>
      </c>
      <c r="C197" t="s">
        <v>39</v>
      </c>
      <c r="D197" t="s">
        <v>72</v>
      </c>
      <c r="E197" t="s">
        <v>92</v>
      </c>
      <c r="F197">
        <v>2024</v>
      </c>
      <c r="G197" t="s">
        <v>113</v>
      </c>
      <c r="H197">
        <v>104</v>
      </c>
      <c r="I197">
        <v>5.9</v>
      </c>
      <c r="J197">
        <v>392877</v>
      </c>
      <c r="K197">
        <v>843.48</v>
      </c>
      <c r="L197">
        <v>191.1</v>
      </c>
      <c r="M197" t="s">
        <v>42</v>
      </c>
      <c r="N197" t="s">
        <v>83</v>
      </c>
      <c r="O197" t="s">
        <v>136</v>
      </c>
      <c r="P197" t="s">
        <v>26</v>
      </c>
      <c r="Q197" t="s">
        <v>152</v>
      </c>
    </row>
    <row r="198" spans="1:17" x14ac:dyDescent="0.3">
      <c r="A198" t="s">
        <v>503</v>
      </c>
      <c r="B198" t="s">
        <v>504</v>
      </c>
      <c r="C198" t="s">
        <v>39</v>
      </c>
      <c r="D198" t="s">
        <v>40</v>
      </c>
      <c r="E198" t="s">
        <v>31</v>
      </c>
      <c r="F198">
        <v>2015</v>
      </c>
      <c r="G198" t="s">
        <v>108</v>
      </c>
      <c r="H198">
        <v>179</v>
      </c>
      <c r="I198">
        <v>7.7</v>
      </c>
      <c r="J198">
        <v>414096</v>
      </c>
      <c r="K198">
        <v>887.26</v>
      </c>
      <c r="L198">
        <v>153.65</v>
      </c>
      <c r="M198" t="s">
        <v>42</v>
      </c>
      <c r="N198" t="s">
        <v>101</v>
      </c>
      <c r="O198" t="s">
        <v>199</v>
      </c>
      <c r="P198" t="s">
        <v>26</v>
      </c>
      <c r="Q198" t="s">
        <v>27</v>
      </c>
    </row>
    <row r="199" spans="1:17" x14ac:dyDescent="0.3">
      <c r="A199" t="s">
        <v>505</v>
      </c>
      <c r="B199" t="s">
        <v>506</v>
      </c>
      <c r="C199" t="s">
        <v>71</v>
      </c>
      <c r="D199" t="s">
        <v>20</v>
      </c>
      <c r="E199" t="s">
        <v>88</v>
      </c>
      <c r="F199">
        <v>2024</v>
      </c>
      <c r="G199" t="s">
        <v>113</v>
      </c>
      <c r="H199">
        <v>121</v>
      </c>
      <c r="I199">
        <v>8.1</v>
      </c>
      <c r="J199">
        <v>725048</v>
      </c>
      <c r="K199">
        <v>989.68</v>
      </c>
      <c r="L199">
        <v>187.82</v>
      </c>
      <c r="M199" t="s">
        <v>23</v>
      </c>
      <c r="N199" t="s">
        <v>133</v>
      </c>
      <c r="O199" t="s">
        <v>151</v>
      </c>
      <c r="P199" t="s">
        <v>26</v>
      </c>
      <c r="Q199" t="s">
        <v>60</v>
      </c>
    </row>
    <row r="200" spans="1:17" x14ac:dyDescent="0.3">
      <c r="A200" t="s">
        <v>507</v>
      </c>
      <c r="B200" t="s">
        <v>508</v>
      </c>
      <c r="C200" t="s">
        <v>39</v>
      </c>
      <c r="D200" t="s">
        <v>20</v>
      </c>
      <c r="E200" t="s">
        <v>31</v>
      </c>
      <c r="F200">
        <v>2024</v>
      </c>
      <c r="G200" t="s">
        <v>126</v>
      </c>
      <c r="H200">
        <v>113</v>
      </c>
      <c r="I200">
        <v>5.6</v>
      </c>
      <c r="J200">
        <v>820034</v>
      </c>
      <c r="K200">
        <v>623.04</v>
      </c>
      <c r="L200">
        <v>234.04</v>
      </c>
      <c r="M200" t="s">
        <v>51</v>
      </c>
      <c r="N200" t="s">
        <v>43</v>
      </c>
      <c r="O200" t="s">
        <v>127</v>
      </c>
      <c r="P200" t="s">
        <v>26</v>
      </c>
      <c r="Q200" t="s">
        <v>123</v>
      </c>
    </row>
    <row r="201" spans="1:17" x14ac:dyDescent="0.3">
      <c r="A201" t="s">
        <v>509</v>
      </c>
      <c r="B201" t="s">
        <v>510</v>
      </c>
      <c r="C201" t="s">
        <v>48</v>
      </c>
      <c r="D201" t="s">
        <v>20</v>
      </c>
      <c r="E201" t="s">
        <v>41</v>
      </c>
      <c r="F201">
        <v>2023</v>
      </c>
      <c r="G201" t="s">
        <v>93</v>
      </c>
      <c r="H201">
        <v>137</v>
      </c>
      <c r="I201">
        <v>7.4</v>
      </c>
      <c r="J201">
        <v>685407</v>
      </c>
      <c r="K201">
        <v>1563.62</v>
      </c>
      <c r="L201">
        <v>233.89</v>
      </c>
      <c r="M201" t="s">
        <v>33</v>
      </c>
      <c r="N201" t="s">
        <v>145</v>
      </c>
      <c r="O201" t="s">
        <v>151</v>
      </c>
      <c r="P201" t="s">
        <v>26</v>
      </c>
      <c r="Q201" t="s">
        <v>54</v>
      </c>
    </row>
    <row r="202" spans="1:17" x14ac:dyDescent="0.3">
      <c r="A202" t="s">
        <v>511</v>
      </c>
      <c r="B202" t="s">
        <v>512</v>
      </c>
      <c r="C202" t="s">
        <v>39</v>
      </c>
      <c r="D202" t="s">
        <v>20</v>
      </c>
      <c r="E202" t="s">
        <v>31</v>
      </c>
      <c r="F202">
        <v>2019</v>
      </c>
      <c r="G202" t="s">
        <v>32</v>
      </c>
      <c r="H202">
        <v>107</v>
      </c>
      <c r="I202">
        <v>6.7</v>
      </c>
      <c r="J202">
        <v>188014</v>
      </c>
      <c r="K202">
        <v>100.17</v>
      </c>
      <c r="L202">
        <v>50.6</v>
      </c>
      <c r="M202" t="s">
        <v>78</v>
      </c>
      <c r="N202" t="s">
        <v>66</v>
      </c>
      <c r="O202" t="s">
        <v>199</v>
      </c>
      <c r="P202" t="s">
        <v>26</v>
      </c>
      <c r="Q202" t="s">
        <v>68</v>
      </c>
    </row>
    <row r="203" spans="1:17" x14ac:dyDescent="0.3">
      <c r="A203" t="s">
        <v>513</v>
      </c>
      <c r="B203" t="s">
        <v>514</v>
      </c>
      <c r="C203" t="s">
        <v>39</v>
      </c>
      <c r="D203" t="s">
        <v>40</v>
      </c>
      <c r="E203" t="s">
        <v>41</v>
      </c>
      <c r="F203">
        <v>2019</v>
      </c>
      <c r="G203" t="s">
        <v>113</v>
      </c>
      <c r="H203">
        <v>177</v>
      </c>
      <c r="I203">
        <v>7.8</v>
      </c>
      <c r="J203">
        <v>656195</v>
      </c>
      <c r="K203">
        <v>616.26</v>
      </c>
      <c r="L203">
        <v>124.96</v>
      </c>
      <c r="M203" t="s">
        <v>42</v>
      </c>
      <c r="N203" t="s">
        <v>43</v>
      </c>
      <c r="O203" t="s">
        <v>105</v>
      </c>
      <c r="P203" t="s">
        <v>26</v>
      </c>
      <c r="Q203" t="s">
        <v>152</v>
      </c>
    </row>
    <row r="204" spans="1:17" x14ac:dyDescent="0.3">
      <c r="A204" t="s">
        <v>515</v>
      </c>
      <c r="B204" t="s">
        <v>516</v>
      </c>
      <c r="C204" t="s">
        <v>130</v>
      </c>
      <c r="D204" t="s">
        <v>20</v>
      </c>
      <c r="E204" t="s">
        <v>92</v>
      </c>
      <c r="F204">
        <v>2022</v>
      </c>
      <c r="G204" t="s">
        <v>32</v>
      </c>
      <c r="H204">
        <v>157</v>
      </c>
      <c r="I204">
        <v>6.8</v>
      </c>
      <c r="J204">
        <v>387051</v>
      </c>
      <c r="K204">
        <v>129.12</v>
      </c>
      <c r="L204">
        <v>84.15</v>
      </c>
      <c r="M204" t="s">
        <v>33</v>
      </c>
      <c r="N204" t="s">
        <v>83</v>
      </c>
      <c r="O204" t="s">
        <v>245</v>
      </c>
      <c r="P204" t="s">
        <v>26</v>
      </c>
      <c r="Q204" t="s">
        <v>60</v>
      </c>
    </row>
    <row r="205" spans="1:17" x14ac:dyDescent="0.3">
      <c r="A205" t="s">
        <v>517</v>
      </c>
      <c r="B205" t="s">
        <v>518</v>
      </c>
      <c r="C205" t="s">
        <v>39</v>
      </c>
      <c r="D205" t="s">
        <v>64</v>
      </c>
      <c r="E205" t="s">
        <v>192</v>
      </c>
      <c r="F205">
        <v>2023</v>
      </c>
      <c r="G205" t="s">
        <v>155</v>
      </c>
      <c r="H205">
        <v>100</v>
      </c>
      <c r="I205">
        <v>6.8</v>
      </c>
      <c r="J205">
        <v>675992</v>
      </c>
      <c r="K205">
        <v>294</v>
      </c>
      <c r="L205">
        <v>140.72</v>
      </c>
      <c r="M205" t="s">
        <v>42</v>
      </c>
      <c r="N205" t="s">
        <v>83</v>
      </c>
      <c r="O205" t="s">
        <v>97</v>
      </c>
      <c r="P205" t="s">
        <v>26</v>
      </c>
      <c r="Q205" t="s">
        <v>68</v>
      </c>
    </row>
    <row r="206" spans="1:17" x14ac:dyDescent="0.3">
      <c r="A206" t="s">
        <v>519</v>
      </c>
      <c r="B206" t="s">
        <v>520</v>
      </c>
      <c r="C206" t="s">
        <v>48</v>
      </c>
      <c r="D206" t="s">
        <v>87</v>
      </c>
      <c r="E206" t="s">
        <v>41</v>
      </c>
      <c r="F206">
        <v>2025</v>
      </c>
      <c r="G206" t="s">
        <v>100</v>
      </c>
      <c r="H206">
        <v>143</v>
      </c>
      <c r="I206">
        <v>8</v>
      </c>
      <c r="J206">
        <v>268529</v>
      </c>
      <c r="K206">
        <v>1141.98</v>
      </c>
      <c r="L206">
        <v>167.38</v>
      </c>
      <c r="M206" t="s">
        <v>42</v>
      </c>
      <c r="N206" t="s">
        <v>66</v>
      </c>
      <c r="O206" t="s">
        <v>245</v>
      </c>
      <c r="P206" t="s">
        <v>45</v>
      </c>
      <c r="Q206" t="s">
        <v>36</v>
      </c>
    </row>
    <row r="207" spans="1:17" x14ac:dyDescent="0.3">
      <c r="A207" t="s">
        <v>521</v>
      </c>
      <c r="B207" t="s">
        <v>522</v>
      </c>
      <c r="C207" t="s">
        <v>19</v>
      </c>
      <c r="D207" t="s">
        <v>20</v>
      </c>
      <c r="E207" t="s">
        <v>41</v>
      </c>
      <c r="F207">
        <v>2021</v>
      </c>
      <c r="G207" t="s">
        <v>50</v>
      </c>
      <c r="H207">
        <v>94</v>
      </c>
      <c r="I207">
        <v>7.4</v>
      </c>
      <c r="J207">
        <v>471680</v>
      </c>
      <c r="K207">
        <v>993.45</v>
      </c>
      <c r="L207">
        <v>247.69</v>
      </c>
      <c r="M207" t="s">
        <v>33</v>
      </c>
      <c r="N207" t="s">
        <v>101</v>
      </c>
      <c r="O207" t="s">
        <v>97</v>
      </c>
      <c r="P207" t="s">
        <v>26</v>
      </c>
      <c r="Q207" t="s">
        <v>60</v>
      </c>
    </row>
    <row r="208" spans="1:17" x14ac:dyDescent="0.3">
      <c r="A208" t="s">
        <v>523</v>
      </c>
      <c r="B208" t="s">
        <v>524</v>
      </c>
      <c r="C208" t="s">
        <v>63</v>
      </c>
      <c r="D208" t="s">
        <v>40</v>
      </c>
      <c r="E208" t="s">
        <v>192</v>
      </c>
      <c r="F208">
        <v>2017</v>
      </c>
      <c r="G208" t="s">
        <v>113</v>
      </c>
      <c r="H208">
        <v>98</v>
      </c>
      <c r="I208">
        <v>6.6</v>
      </c>
      <c r="J208">
        <v>138735</v>
      </c>
      <c r="K208">
        <v>282.54000000000002</v>
      </c>
      <c r="L208">
        <v>47.82</v>
      </c>
      <c r="M208" t="s">
        <v>42</v>
      </c>
      <c r="N208" t="s">
        <v>83</v>
      </c>
      <c r="O208" t="s">
        <v>141</v>
      </c>
      <c r="P208" t="s">
        <v>45</v>
      </c>
      <c r="Q208" t="s">
        <v>36</v>
      </c>
    </row>
    <row r="209" spans="1:17" x14ac:dyDescent="0.3">
      <c r="A209" t="s">
        <v>525</v>
      </c>
      <c r="B209" t="s">
        <v>526</v>
      </c>
      <c r="C209" t="s">
        <v>63</v>
      </c>
      <c r="D209" t="s">
        <v>87</v>
      </c>
      <c r="E209" t="s">
        <v>41</v>
      </c>
      <c r="F209">
        <v>2019</v>
      </c>
      <c r="G209" t="s">
        <v>113</v>
      </c>
      <c r="H209">
        <v>93</v>
      </c>
      <c r="I209">
        <v>7.5</v>
      </c>
      <c r="J209">
        <v>23907</v>
      </c>
      <c r="K209">
        <v>514.21</v>
      </c>
      <c r="L209">
        <v>218.2</v>
      </c>
      <c r="M209" t="s">
        <v>42</v>
      </c>
      <c r="N209" t="s">
        <v>109</v>
      </c>
      <c r="O209" t="s">
        <v>136</v>
      </c>
      <c r="P209" t="s">
        <v>26</v>
      </c>
      <c r="Q209" t="s">
        <v>27</v>
      </c>
    </row>
    <row r="210" spans="1:17" x14ac:dyDescent="0.3">
      <c r="A210" t="s">
        <v>527</v>
      </c>
      <c r="B210" t="s">
        <v>528</v>
      </c>
      <c r="C210" t="s">
        <v>48</v>
      </c>
      <c r="D210" t="s">
        <v>57</v>
      </c>
      <c r="E210" t="s">
        <v>41</v>
      </c>
      <c r="F210">
        <v>2018</v>
      </c>
      <c r="G210" t="s">
        <v>126</v>
      </c>
      <c r="H210">
        <v>86</v>
      </c>
      <c r="I210">
        <v>7.1</v>
      </c>
      <c r="J210">
        <v>773522</v>
      </c>
      <c r="K210">
        <v>1228.17</v>
      </c>
      <c r="L210">
        <v>176.5</v>
      </c>
      <c r="M210" t="s">
        <v>58</v>
      </c>
      <c r="N210" t="s">
        <v>24</v>
      </c>
      <c r="O210" t="s">
        <v>127</v>
      </c>
      <c r="P210" t="s">
        <v>45</v>
      </c>
      <c r="Q210" t="s">
        <v>54</v>
      </c>
    </row>
    <row r="211" spans="1:17" x14ac:dyDescent="0.3">
      <c r="A211" t="s">
        <v>529</v>
      </c>
      <c r="B211" t="s">
        <v>530</v>
      </c>
      <c r="C211" t="s">
        <v>48</v>
      </c>
      <c r="D211" t="s">
        <v>20</v>
      </c>
      <c r="E211" t="s">
        <v>92</v>
      </c>
      <c r="F211">
        <v>2019</v>
      </c>
      <c r="G211" t="s">
        <v>77</v>
      </c>
      <c r="H211">
        <v>160</v>
      </c>
      <c r="I211">
        <v>8.5</v>
      </c>
      <c r="J211">
        <v>146693</v>
      </c>
      <c r="K211">
        <v>288.17</v>
      </c>
      <c r="L211">
        <v>40.119999999999997</v>
      </c>
      <c r="M211" t="s">
        <v>78</v>
      </c>
      <c r="N211" t="s">
        <v>83</v>
      </c>
      <c r="O211" t="s">
        <v>166</v>
      </c>
      <c r="P211" t="s">
        <v>26</v>
      </c>
      <c r="Q211" t="s">
        <v>36</v>
      </c>
    </row>
    <row r="212" spans="1:17" x14ac:dyDescent="0.3">
      <c r="A212" t="s">
        <v>531</v>
      </c>
      <c r="B212" t="s">
        <v>532</v>
      </c>
      <c r="C212" t="s">
        <v>86</v>
      </c>
      <c r="D212" t="s">
        <v>20</v>
      </c>
      <c r="E212" t="s">
        <v>208</v>
      </c>
      <c r="F212">
        <v>2023</v>
      </c>
      <c r="G212" t="s">
        <v>50</v>
      </c>
      <c r="H212">
        <v>145</v>
      </c>
      <c r="I212">
        <v>6.4</v>
      </c>
      <c r="J212">
        <v>922952</v>
      </c>
      <c r="K212">
        <v>347.98</v>
      </c>
      <c r="L212">
        <v>196.5</v>
      </c>
      <c r="M212" t="s">
        <v>33</v>
      </c>
      <c r="N212" t="s">
        <v>24</v>
      </c>
      <c r="O212" t="s">
        <v>74</v>
      </c>
      <c r="P212" t="s">
        <v>26</v>
      </c>
      <c r="Q212" t="s">
        <v>152</v>
      </c>
    </row>
    <row r="213" spans="1:17" x14ac:dyDescent="0.3">
      <c r="A213" t="s">
        <v>533</v>
      </c>
      <c r="B213" t="s">
        <v>534</v>
      </c>
      <c r="C213" t="s">
        <v>39</v>
      </c>
      <c r="D213" t="s">
        <v>81</v>
      </c>
      <c r="E213" t="s">
        <v>82</v>
      </c>
      <c r="F213">
        <v>2023</v>
      </c>
      <c r="G213" t="s">
        <v>93</v>
      </c>
      <c r="H213">
        <v>145</v>
      </c>
      <c r="I213">
        <v>5.9</v>
      </c>
      <c r="J213">
        <v>329919</v>
      </c>
      <c r="K213">
        <v>609.1</v>
      </c>
      <c r="L213">
        <v>89.68</v>
      </c>
      <c r="M213" t="s">
        <v>42</v>
      </c>
      <c r="N213" t="s">
        <v>133</v>
      </c>
      <c r="O213" t="s">
        <v>151</v>
      </c>
      <c r="P213" t="s">
        <v>26</v>
      </c>
      <c r="Q213" t="s">
        <v>123</v>
      </c>
    </row>
    <row r="214" spans="1:17" x14ac:dyDescent="0.3">
      <c r="A214" t="s">
        <v>535</v>
      </c>
      <c r="B214" t="s">
        <v>536</v>
      </c>
      <c r="C214" t="s">
        <v>144</v>
      </c>
      <c r="D214" t="s">
        <v>20</v>
      </c>
      <c r="E214" t="s">
        <v>88</v>
      </c>
      <c r="F214">
        <v>2017</v>
      </c>
      <c r="G214" t="s">
        <v>155</v>
      </c>
      <c r="H214">
        <v>146</v>
      </c>
      <c r="I214">
        <v>6.7</v>
      </c>
      <c r="J214">
        <v>235937</v>
      </c>
      <c r="K214">
        <v>667.28</v>
      </c>
      <c r="L214">
        <v>212.12</v>
      </c>
      <c r="M214" t="s">
        <v>78</v>
      </c>
      <c r="N214" t="s">
        <v>43</v>
      </c>
      <c r="O214" t="s">
        <v>44</v>
      </c>
      <c r="P214" t="s">
        <v>45</v>
      </c>
      <c r="Q214" t="s">
        <v>36</v>
      </c>
    </row>
    <row r="215" spans="1:17" x14ac:dyDescent="0.3">
      <c r="A215" t="s">
        <v>537</v>
      </c>
      <c r="B215" t="s">
        <v>538</v>
      </c>
      <c r="C215" t="s">
        <v>39</v>
      </c>
      <c r="D215" t="s">
        <v>20</v>
      </c>
      <c r="E215" t="s">
        <v>41</v>
      </c>
      <c r="F215">
        <v>2021</v>
      </c>
      <c r="G215" t="s">
        <v>96</v>
      </c>
      <c r="H215">
        <v>112</v>
      </c>
      <c r="I215">
        <v>7.2</v>
      </c>
      <c r="J215">
        <v>847109</v>
      </c>
      <c r="K215">
        <v>706.65</v>
      </c>
      <c r="L215">
        <v>164.15</v>
      </c>
      <c r="M215" t="s">
        <v>23</v>
      </c>
      <c r="N215" t="s">
        <v>24</v>
      </c>
      <c r="O215" t="s">
        <v>141</v>
      </c>
      <c r="P215" t="s">
        <v>26</v>
      </c>
      <c r="Q215" t="s">
        <v>152</v>
      </c>
    </row>
    <row r="216" spans="1:17" x14ac:dyDescent="0.3">
      <c r="A216" t="s">
        <v>539</v>
      </c>
      <c r="B216" t="s">
        <v>540</v>
      </c>
      <c r="C216" t="s">
        <v>86</v>
      </c>
      <c r="D216" t="s">
        <v>57</v>
      </c>
      <c r="E216" t="s">
        <v>88</v>
      </c>
      <c r="F216">
        <v>2018</v>
      </c>
      <c r="G216" t="s">
        <v>32</v>
      </c>
      <c r="H216">
        <v>128</v>
      </c>
      <c r="I216">
        <v>7.8</v>
      </c>
      <c r="J216">
        <v>664800</v>
      </c>
      <c r="K216">
        <v>994.99</v>
      </c>
      <c r="L216">
        <v>209.69</v>
      </c>
      <c r="M216" t="s">
        <v>58</v>
      </c>
      <c r="N216" t="s">
        <v>89</v>
      </c>
      <c r="O216" t="s">
        <v>97</v>
      </c>
      <c r="P216" t="s">
        <v>26</v>
      </c>
      <c r="Q216" t="s">
        <v>27</v>
      </c>
    </row>
    <row r="217" spans="1:17" x14ac:dyDescent="0.3">
      <c r="A217" t="s">
        <v>541</v>
      </c>
      <c r="B217" t="s">
        <v>542</v>
      </c>
      <c r="C217" t="s">
        <v>39</v>
      </c>
      <c r="D217" t="s">
        <v>64</v>
      </c>
      <c r="E217" t="s">
        <v>41</v>
      </c>
      <c r="F217">
        <v>2019</v>
      </c>
      <c r="G217" t="s">
        <v>22</v>
      </c>
      <c r="H217">
        <v>164</v>
      </c>
      <c r="I217">
        <v>7.2</v>
      </c>
      <c r="J217">
        <v>386828</v>
      </c>
      <c r="K217">
        <v>1429.5</v>
      </c>
      <c r="L217">
        <v>200.38</v>
      </c>
      <c r="M217" t="s">
        <v>42</v>
      </c>
      <c r="N217" t="s">
        <v>179</v>
      </c>
      <c r="O217" t="s">
        <v>59</v>
      </c>
      <c r="P217" t="s">
        <v>26</v>
      </c>
      <c r="Q217" t="s">
        <v>152</v>
      </c>
    </row>
    <row r="218" spans="1:17" x14ac:dyDescent="0.3">
      <c r="A218" t="s">
        <v>543</v>
      </c>
      <c r="B218" t="s">
        <v>544</v>
      </c>
      <c r="C218" t="s">
        <v>144</v>
      </c>
      <c r="D218" t="s">
        <v>64</v>
      </c>
      <c r="E218" t="s">
        <v>192</v>
      </c>
      <c r="F218">
        <v>2018</v>
      </c>
      <c r="G218" t="s">
        <v>126</v>
      </c>
      <c r="H218">
        <v>139</v>
      </c>
      <c r="I218">
        <v>6.2</v>
      </c>
      <c r="J218">
        <v>310634</v>
      </c>
      <c r="K218">
        <v>642.30999999999995</v>
      </c>
      <c r="L218">
        <v>143</v>
      </c>
      <c r="M218" t="s">
        <v>42</v>
      </c>
      <c r="N218" t="s">
        <v>101</v>
      </c>
      <c r="O218" t="s">
        <v>199</v>
      </c>
      <c r="P218" t="s">
        <v>45</v>
      </c>
      <c r="Q218" t="s">
        <v>27</v>
      </c>
    </row>
    <row r="219" spans="1:17" x14ac:dyDescent="0.3">
      <c r="A219" t="s">
        <v>545</v>
      </c>
      <c r="B219" t="s">
        <v>546</v>
      </c>
      <c r="C219" t="s">
        <v>30</v>
      </c>
      <c r="D219" t="s">
        <v>81</v>
      </c>
      <c r="E219" t="s">
        <v>41</v>
      </c>
      <c r="F219">
        <v>2016</v>
      </c>
      <c r="G219" t="s">
        <v>22</v>
      </c>
      <c r="H219">
        <v>175</v>
      </c>
      <c r="I219">
        <v>6.8</v>
      </c>
      <c r="J219">
        <v>283200</v>
      </c>
      <c r="K219">
        <v>125.3</v>
      </c>
      <c r="L219">
        <v>149.36000000000001</v>
      </c>
      <c r="M219" t="s">
        <v>42</v>
      </c>
      <c r="N219" t="s">
        <v>145</v>
      </c>
      <c r="O219" t="s">
        <v>59</v>
      </c>
      <c r="P219" t="s">
        <v>26</v>
      </c>
      <c r="Q219" t="s">
        <v>123</v>
      </c>
    </row>
    <row r="220" spans="1:17" x14ac:dyDescent="0.3">
      <c r="A220" t="s">
        <v>547</v>
      </c>
      <c r="B220" t="s">
        <v>548</v>
      </c>
      <c r="C220" t="s">
        <v>86</v>
      </c>
      <c r="D220" t="s">
        <v>87</v>
      </c>
      <c r="E220" t="s">
        <v>88</v>
      </c>
      <c r="F220">
        <v>2016</v>
      </c>
      <c r="G220" t="s">
        <v>22</v>
      </c>
      <c r="H220">
        <v>176</v>
      </c>
      <c r="I220">
        <v>7.2</v>
      </c>
      <c r="J220">
        <v>74632</v>
      </c>
      <c r="K220">
        <v>356.21</v>
      </c>
      <c r="L220">
        <v>143.69</v>
      </c>
      <c r="M220" t="s">
        <v>42</v>
      </c>
      <c r="N220" t="s">
        <v>73</v>
      </c>
      <c r="O220" t="s">
        <v>67</v>
      </c>
      <c r="P220" t="s">
        <v>26</v>
      </c>
      <c r="Q220" t="s">
        <v>123</v>
      </c>
    </row>
    <row r="221" spans="1:17" x14ac:dyDescent="0.3">
      <c r="A221" t="s">
        <v>549</v>
      </c>
      <c r="B221" t="s">
        <v>550</v>
      </c>
      <c r="C221" t="s">
        <v>63</v>
      </c>
      <c r="D221" t="s">
        <v>20</v>
      </c>
      <c r="E221" t="s">
        <v>31</v>
      </c>
      <c r="F221">
        <v>2023</v>
      </c>
      <c r="G221" t="s">
        <v>108</v>
      </c>
      <c r="H221">
        <v>177</v>
      </c>
      <c r="I221">
        <v>6.3</v>
      </c>
      <c r="J221">
        <v>857160</v>
      </c>
      <c r="K221">
        <v>511.17</v>
      </c>
      <c r="L221">
        <v>217.17</v>
      </c>
      <c r="M221" t="s">
        <v>51</v>
      </c>
      <c r="N221" t="s">
        <v>101</v>
      </c>
      <c r="O221" t="s">
        <v>35</v>
      </c>
      <c r="P221" t="s">
        <v>26</v>
      </c>
      <c r="Q221" t="s">
        <v>60</v>
      </c>
    </row>
    <row r="222" spans="1:17" x14ac:dyDescent="0.3">
      <c r="A222" t="s">
        <v>551</v>
      </c>
      <c r="B222" t="s">
        <v>552</v>
      </c>
      <c r="C222" t="s">
        <v>86</v>
      </c>
      <c r="D222" t="s">
        <v>20</v>
      </c>
      <c r="E222" t="s">
        <v>41</v>
      </c>
      <c r="F222">
        <v>2019</v>
      </c>
      <c r="G222" t="s">
        <v>100</v>
      </c>
      <c r="H222">
        <v>112</v>
      </c>
      <c r="I222">
        <v>7.7</v>
      </c>
      <c r="J222">
        <v>2987</v>
      </c>
      <c r="K222">
        <v>101.42</v>
      </c>
      <c r="L222">
        <v>32.340000000000003</v>
      </c>
      <c r="M222" t="s">
        <v>51</v>
      </c>
      <c r="N222" t="s">
        <v>109</v>
      </c>
      <c r="O222" t="s">
        <v>67</v>
      </c>
      <c r="P222" t="s">
        <v>45</v>
      </c>
      <c r="Q222" t="s">
        <v>54</v>
      </c>
    </row>
    <row r="223" spans="1:17" x14ac:dyDescent="0.3">
      <c r="A223" t="s">
        <v>553</v>
      </c>
      <c r="B223" t="s">
        <v>554</v>
      </c>
      <c r="C223" t="s">
        <v>39</v>
      </c>
      <c r="D223" t="s">
        <v>57</v>
      </c>
      <c r="E223" t="s">
        <v>208</v>
      </c>
      <c r="F223">
        <v>2017</v>
      </c>
      <c r="G223" t="s">
        <v>108</v>
      </c>
      <c r="H223">
        <v>190</v>
      </c>
      <c r="I223">
        <v>7.7</v>
      </c>
      <c r="J223">
        <v>433807</v>
      </c>
      <c r="K223">
        <v>462.21</v>
      </c>
      <c r="L223">
        <v>193.05</v>
      </c>
      <c r="M223" t="s">
        <v>58</v>
      </c>
      <c r="N223" t="s">
        <v>24</v>
      </c>
      <c r="O223" t="s">
        <v>120</v>
      </c>
      <c r="P223" t="s">
        <v>26</v>
      </c>
      <c r="Q223" t="s">
        <v>60</v>
      </c>
    </row>
    <row r="224" spans="1:17" x14ac:dyDescent="0.3">
      <c r="A224" t="s">
        <v>555</v>
      </c>
      <c r="B224" t="s">
        <v>556</v>
      </c>
      <c r="C224" t="s">
        <v>30</v>
      </c>
      <c r="D224" t="s">
        <v>40</v>
      </c>
      <c r="E224" t="s">
        <v>88</v>
      </c>
      <c r="F224">
        <v>2024</v>
      </c>
      <c r="G224" t="s">
        <v>93</v>
      </c>
      <c r="H224">
        <v>110</v>
      </c>
      <c r="I224">
        <v>7.7</v>
      </c>
      <c r="J224">
        <v>195841</v>
      </c>
      <c r="K224">
        <v>570.91999999999996</v>
      </c>
      <c r="L224">
        <v>208.41</v>
      </c>
      <c r="M224" t="s">
        <v>42</v>
      </c>
      <c r="N224" t="s">
        <v>73</v>
      </c>
      <c r="O224" t="s">
        <v>245</v>
      </c>
      <c r="P224" t="s">
        <v>45</v>
      </c>
      <c r="Q224" t="s">
        <v>54</v>
      </c>
    </row>
    <row r="225" spans="1:17" x14ac:dyDescent="0.3">
      <c r="A225" t="s">
        <v>557</v>
      </c>
      <c r="B225" t="s">
        <v>558</v>
      </c>
      <c r="C225" t="s">
        <v>104</v>
      </c>
      <c r="D225" t="s">
        <v>72</v>
      </c>
      <c r="E225" t="s">
        <v>82</v>
      </c>
      <c r="F225">
        <v>2015</v>
      </c>
      <c r="G225" t="s">
        <v>77</v>
      </c>
      <c r="H225">
        <v>161</v>
      </c>
      <c r="I225">
        <v>7.5</v>
      </c>
      <c r="J225">
        <v>817156</v>
      </c>
      <c r="K225">
        <v>445.64</v>
      </c>
      <c r="L225">
        <v>71.67</v>
      </c>
      <c r="M225" t="s">
        <v>42</v>
      </c>
      <c r="N225" t="s">
        <v>101</v>
      </c>
      <c r="O225" t="s">
        <v>74</v>
      </c>
      <c r="P225" t="s">
        <v>45</v>
      </c>
      <c r="Q225" t="s">
        <v>36</v>
      </c>
    </row>
    <row r="226" spans="1:17" x14ac:dyDescent="0.3">
      <c r="A226" t="s">
        <v>559</v>
      </c>
      <c r="B226" t="s">
        <v>560</v>
      </c>
      <c r="C226" t="s">
        <v>39</v>
      </c>
      <c r="D226" t="s">
        <v>64</v>
      </c>
      <c r="E226" t="s">
        <v>82</v>
      </c>
      <c r="F226">
        <v>2015</v>
      </c>
      <c r="G226" t="s">
        <v>93</v>
      </c>
      <c r="H226">
        <v>113</v>
      </c>
      <c r="I226">
        <v>7.9</v>
      </c>
      <c r="J226">
        <v>421200</v>
      </c>
      <c r="K226">
        <v>74.760000000000005</v>
      </c>
      <c r="L226">
        <v>19.09</v>
      </c>
      <c r="M226" t="s">
        <v>42</v>
      </c>
      <c r="N226" t="s">
        <v>52</v>
      </c>
      <c r="O226" t="s">
        <v>245</v>
      </c>
      <c r="P226" t="s">
        <v>26</v>
      </c>
      <c r="Q226" t="s">
        <v>152</v>
      </c>
    </row>
    <row r="227" spans="1:17" x14ac:dyDescent="0.3">
      <c r="A227" t="s">
        <v>561</v>
      </c>
      <c r="B227" t="s">
        <v>562</v>
      </c>
      <c r="C227" t="s">
        <v>19</v>
      </c>
      <c r="D227" t="s">
        <v>81</v>
      </c>
      <c r="E227" t="s">
        <v>192</v>
      </c>
      <c r="F227">
        <v>2021</v>
      </c>
      <c r="G227" t="s">
        <v>96</v>
      </c>
      <c r="H227">
        <v>91</v>
      </c>
      <c r="I227">
        <v>6.9</v>
      </c>
      <c r="J227">
        <v>213198</v>
      </c>
      <c r="K227">
        <v>294.86</v>
      </c>
      <c r="L227">
        <v>61.43</v>
      </c>
      <c r="M227" t="s">
        <v>42</v>
      </c>
      <c r="N227" t="s">
        <v>89</v>
      </c>
      <c r="O227" t="s">
        <v>97</v>
      </c>
      <c r="P227" t="s">
        <v>45</v>
      </c>
      <c r="Q227" t="s">
        <v>27</v>
      </c>
    </row>
    <row r="228" spans="1:17" x14ac:dyDescent="0.3">
      <c r="A228" t="s">
        <v>563</v>
      </c>
      <c r="B228" t="s">
        <v>564</v>
      </c>
      <c r="C228" t="s">
        <v>104</v>
      </c>
      <c r="D228" t="s">
        <v>87</v>
      </c>
      <c r="E228" t="s">
        <v>88</v>
      </c>
      <c r="F228">
        <v>2015</v>
      </c>
      <c r="G228" t="s">
        <v>126</v>
      </c>
      <c r="H228">
        <v>102</v>
      </c>
      <c r="I228">
        <v>7.8</v>
      </c>
      <c r="J228">
        <v>315722</v>
      </c>
      <c r="K228">
        <v>551.16</v>
      </c>
      <c r="L228">
        <v>246.13</v>
      </c>
      <c r="M228" t="s">
        <v>42</v>
      </c>
      <c r="N228" t="s">
        <v>73</v>
      </c>
      <c r="O228" t="s">
        <v>44</v>
      </c>
      <c r="P228" t="s">
        <v>45</v>
      </c>
      <c r="Q228" t="s">
        <v>60</v>
      </c>
    </row>
    <row r="229" spans="1:17" x14ac:dyDescent="0.3">
      <c r="A229" t="s">
        <v>565</v>
      </c>
      <c r="B229" t="s">
        <v>566</v>
      </c>
      <c r="C229" t="s">
        <v>39</v>
      </c>
      <c r="D229" t="s">
        <v>40</v>
      </c>
      <c r="E229" t="s">
        <v>88</v>
      </c>
      <c r="F229">
        <v>2024</v>
      </c>
      <c r="G229" t="s">
        <v>100</v>
      </c>
      <c r="H229">
        <v>179</v>
      </c>
      <c r="I229">
        <v>5.2</v>
      </c>
      <c r="J229">
        <v>653766</v>
      </c>
      <c r="K229">
        <v>203.1</v>
      </c>
      <c r="L229">
        <v>62.16</v>
      </c>
      <c r="M229" t="s">
        <v>42</v>
      </c>
      <c r="N229" t="s">
        <v>52</v>
      </c>
      <c r="O229" t="s">
        <v>151</v>
      </c>
      <c r="P229" t="s">
        <v>45</v>
      </c>
      <c r="Q229" t="s">
        <v>68</v>
      </c>
    </row>
    <row r="230" spans="1:17" x14ac:dyDescent="0.3">
      <c r="A230" t="s">
        <v>567</v>
      </c>
      <c r="B230" t="s">
        <v>568</v>
      </c>
      <c r="C230" t="s">
        <v>130</v>
      </c>
      <c r="D230" t="s">
        <v>20</v>
      </c>
      <c r="E230" t="s">
        <v>92</v>
      </c>
      <c r="F230">
        <v>2024</v>
      </c>
      <c r="G230" t="s">
        <v>113</v>
      </c>
      <c r="H230">
        <v>129</v>
      </c>
      <c r="I230">
        <v>8.1</v>
      </c>
      <c r="J230">
        <v>314535</v>
      </c>
      <c r="K230">
        <v>439.57</v>
      </c>
      <c r="L230">
        <v>72.56</v>
      </c>
      <c r="M230" t="s">
        <v>23</v>
      </c>
      <c r="N230" t="s">
        <v>24</v>
      </c>
      <c r="O230" t="s">
        <v>166</v>
      </c>
      <c r="P230" t="s">
        <v>45</v>
      </c>
      <c r="Q230" t="s">
        <v>123</v>
      </c>
    </row>
    <row r="231" spans="1:17" x14ac:dyDescent="0.3">
      <c r="A231" t="s">
        <v>569</v>
      </c>
      <c r="B231" t="s">
        <v>570</v>
      </c>
      <c r="C231" t="s">
        <v>19</v>
      </c>
      <c r="D231" t="s">
        <v>215</v>
      </c>
      <c r="E231" t="s">
        <v>31</v>
      </c>
      <c r="F231">
        <v>2017</v>
      </c>
      <c r="G231" t="s">
        <v>22</v>
      </c>
      <c r="H231">
        <v>98</v>
      </c>
      <c r="J231">
        <v>242834</v>
      </c>
      <c r="K231">
        <v>268.62</v>
      </c>
      <c r="L231">
        <v>157.84</v>
      </c>
      <c r="M231" t="s">
        <v>216</v>
      </c>
      <c r="N231" t="s">
        <v>24</v>
      </c>
      <c r="O231" t="s">
        <v>53</v>
      </c>
      <c r="P231" t="s">
        <v>26</v>
      </c>
      <c r="Q231" t="s">
        <v>27</v>
      </c>
    </row>
    <row r="232" spans="1:17" x14ac:dyDescent="0.3">
      <c r="A232" t="s">
        <v>571</v>
      </c>
      <c r="B232" t="s">
        <v>572</v>
      </c>
      <c r="C232" t="s">
        <v>130</v>
      </c>
      <c r="D232" t="s">
        <v>20</v>
      </c>
      <c r="E232" t="s">
        <v>41</v>
      </c>
      <c r="F232">
        <v>2016</v>
      </c>
      <c r="G232" t="s">
        <v>126</v>
      </c>
      <c r="H232">
        <v>167</v>
      </c>
      <c r="I232">
        <v>6.4</v>
      </c>
      <c r="J232">
        <v>863076</v>
      </c>
      <c r="K232">
        <v>457.78</v>
      </c>
      <c r="L232">
        <v>123.57</v>
      </c>
      <c r="M232" t="s">
        <v>78</v>
      </c>
      <c r="N232" t="s">
        <v>145</v>
      </c>
      <c r="O232" t="s">
        <v>59</v>
      </c>
      <c r="P232" t="s">
        <v>26</v>
      </c>
      <c r="Q232" t="s">
        <v>27</v>
      </c>
    </row>
    <row r="233" spans="1:17" x14ac:dyDescent="0.3">
      <c r="A233" t="s">
        <v>573</v>
      </c>
      <c r="B233" t="s">
        <v>574</v>
      </c>
      <c r="C233" t="s">
        <v>19</v>
      </c>
      <c r="D233" t="s">
        <v>20</v>
      </c>
      <c r="E233" t="s">
        <v>41</v>
      </c>
      <c r="F233">
        <v>2024</v>
      </c>
      <c r="G233" t="s">
        <v>96</v>
      </c>
      <c r="H233">
        <v>121</v>
      </c>
      <c r="I233">
        <v>7.9</v>
      </c>
      <c r="J233">
        <v>803248</v>
      </c>
      <c r="K233">
        <v>777.87</v>
      </c>
      <c r="L233">
        <v>231.82</v>
      </c>
      <c r="M233" t="s">
        <v>51</v>
      </c>
      <c r="N233" t="s">
        <v>89</v>
      </c>
      <c r="O233" t="s">
        <v>120</v>
      </c>
      <c r="P233" t="s">
        <v>45</v>
      </c>
      <c r="Q233" t="s">
        <v>36</v>
      </c>
    </row>
    <row r="234" spans="1:17" x14ac:dyDescent="0.3">
      <c r="A234" t="s">
        <v>575</v>
      </c>
      <c r="B234" t="s">
        <v>576</v>
      </c>
      <c r="C234" t="s">
        <v>30</v>
      </c>
      <c r="D234" t="s">
        <v>40</v>
      </c>
      <c r="E234" t="s">
        <v>31</v>
      </c>
      <c r="F234">
        <v>2021</v>
      </c>
      <c r="G234" t="s">
        <v>155</v>
      </c>
      <c r="H234">
        <v>115</v>
      </c>
      <c r="I234">
        <v>5.9</v>
      </c>
      <c r="J234">
        <v>643803</v>
      </c>
      <c r="K234">
        <v>1089.7</v>
      </c>
      <c r="L234">
        <v>202.28</v>
      </c>
      <c r="M234" t="s">
        <v>42</v>
      </c>
      <c r="N234" t="s">
        <v>145</v>
      </c>
      <c r="O234" t="s">
        <v>127</v>
      </c>
      <c r="P234" t="s">
        <v>26</v>
      </c>
      <c r="Q234" t="s">
        <v>27</v>
      </c>
    </row>
    <row r="235" spans="1:17" x14ac:dyDescent="0.3">
      <c r="A235" t="s">
        <v>577</v>
      </c>
      <c r="B235" t="s">
        <v>578</v>
      </c>
      <c r="C235" t="s">
        <v>130</v>
      </c>
      <c r="D235" t="s">
        <v>40</v>
      </c>
      <c r="E235" t="s">
        <v>31</v>
      </c>
      <c r="F235">
        <v>2020</v>
      </c>
      <c r="G235" t="s">
        <v>77</v>
      </c>
      <c r="H235">
        <v>119</v>
      </c>
      <c r="I235">
        <v>6.4</v>
      </c>
      <c r="J235">
        <v>57905</v>
      </c>
      <c r="K235">
        <v>55.16</v>
      </c>
      <c r="L235">
        <v>17.72</v>
      </c>
      <c r="M235" t="s">
        <v>42</v>
      </c>
      <c r="N235" t="s">
        <v>101</v>
      </c>
      <c r="O235" t="s">
        <v>97</v>
      </c>
      <c r="P235" t="s">
        <v>26</v>
      </c>
      <c r="Q235" t="s">
        <v>27</v>
      </c>
    </row>
    <row r="236" spans="1:17" x14ac:dyDescent="0.3">
      <c r="A236" t="s">
        <v>579</v>
      </c>
      <c r="B236" t="s">
        <v>580</v>
      </c>
      <c r="C236" t="s">
        <v>30</v>
      </c>
      <c r="D236" t="s">
        <v>64</v>
      </c>
      <c r="E236" t="s">
        <v>41</v>
      </c>
      <c r="F236">
        <v>2016</v>
      </c>
      <c r="G236" t="s">
        <v>22</v>
      </c>
      <c r="H236">
        <v>145</v>
      </c>
      <c r="I236">
        <v>7.9</v>
      </c>
      <c r="J236">
        <v>773539</v>
      </c>
      <c r="K236">
        <v>671.96</v>
      </c>
      <c r="L236">
        <v>104.41</v>
      </c>
      <c r="M236" t="s">
        <v>42</v>
      </c>
      <c r="N236" t="s">
        <v>66</v>
      </c>
      <c r="O236" t="s">
        <v>199</v>
      </c>
      <c r="P236" t="s">
        <v>26</v>
      </c>
      <c r="Q236" t="s">
        <v>123</v>
      </c>
    </row>
    <row r="237" spans="1:17" x14ac:dyDescent="0.3">
      <c r="A237" t="s">
        <v>581</v>
      </c>
      <c r="B237" t="s">
        <v>582</v>
      </c>
      <c r="C237" t="s">
        <v>48</v>
      </c>
      <c r="D237" t="s">
        <v>20</v>
      </c>
      <c r="E237" t="s">
        <v>49</v>
      </c>
      <c r="F237">
        <v>2020</v>
      </c>
      <c r="G237" t="s">
        <v>155</v>
      </c>
      <c r="H237">
        <v>136</v>
      </c>
      <c r="I237">
        <v>7.4</v>
      </c>
      <c r="J237">
        <v>89174</v>
      </c>
      <c r="K237">
        <v>33.97</v>
      </c>
      <c r="L237">
        <v>11.17</v>
      </c>
      <c r="M237" t="s">
        <v>23</v>
      </c>
      <c r="N237" t="s">
        <v>101</v>
      </c>
      <c r="O237" t="s">
        <v>127</v>
      </c>
      <c r="P237" t="s">
        <v>26</v>
      </c>
      <c r="Q237" t="s">
        <v>36</v>
      </c>
    </row>
    <row r="238" spans="1:17" x14ac:dyDescent="0.3">
      <c r="A238" t="s">
        <v>583</v>
      </c>
      <c r="B238" t="s">
        <v>584</v>
      </c>
      <c r="C238" t="s">
        <v>63</v>
      </c>
      <c r="D238" t="s">
        <v>20</v>
      </c>
      <c r="E238" t="s">
        <v>31</v>
      </c>
      <c r="F238">
        <v>2021</v>
      </c>
      <c r="G238" t="s">
        <v>96</v>
      </c>
      <c r="H238">
        <v>116</v>
      </c>
      <c r="I238">
        <v>7.4</v>
      </c>
      <c r="J238">
        <v>66696</v>
      </c>
      <c r="K238">
        <v>227.71</v>
      </c>
      <c r="L238">
        <v>157.25</v>
      </c>
      <c r="M238" t="s">
        <v>33</v>
      </c>
      <c r="N238" t="s">
        <v>109</v>
      </c>
      <c r="O238" t="s">
        <v>35</v>
      </c>
      <c r="P238" t="s">
        <v>45</v>
      </c>
      <c r="Q238" t="s">
        <v>68</v>
      </c>
    </row>
    <row r="239" spans="1:17" x14ac:dyDescent="0.3">
      <c r="A239" t="s">
        <v>585</v>
      </c>
      <c r="B239" t="s">
        <v>586</v>
      </c>
      <c r="C239" t="s">
        <v>39</v>
      </c>
      <c r="D239" t="s">
        <v>20</v>
      </c>
      <c r="E239" t="s">
        <v>31</v>
      </c>
      <c r="F239">
        <v>2020</v>
      </c>
      <c r="G239" t="s">
        <v>113</v>
      </c>
      <c r="H239">
        <v>144</v>
      </c>
      <c r="I239">
        <v>7.8</v>
      </c>
      <c r="J239">
        <v>148520</v>
      </c>
      <c r="K239">
        <v>71.38</v>
      </c>
      <c r="L239">
        <v>26.01</v>
      </c>
      <c r="M239" t="s">
        <v>33</v>
      </c>
      <c r="N239" t="s">
        <v>119</v>
      </c>
      <c r="O239" t="s">
        <v>25</v>
      </c>
      <c r="P239" t="s">
        <v>26</v>
      </c>
      <c r="Q239" t="s">
        <v>68</v>
      </c>
    </row>
    <row r="240" spans="1:17" x14ac:dyDescent="0.3">
      <c r="A240" t="s">
        <v>587</v>
      </c>
      <c r="B240" t="s">
        <v>588</v>
      </c>
      <c r="C240" t="s">
        <v>19</v>
      </c>
      <c r="D240" t="s">
        <v>87</v>
      </c>
      <c r="E240" t="s">
        <v>41</v>
      </c>
      <c r="F240">
        <v>2025</v>
      </c>
      <c r="G240" t="s">
        <v>155</v>
      </c>
      <c r="H240">
        <v>94</v>
      </c>
      <c r="I240">
        <v>6.8</v>
      </c>
      <c r="J240">
        <v>608584</v>
      </c>
      <c r="K240">
        <v>91.71</v>
      </c>
      <c r="L240">
        <v>79.5</v>
      </c>
      <c r="M240" t="s">
        <v>42</v>
      </c>
      <c r="N240" t="s">
        <v>101</v>
      </c>
      <c r="O240" t="s">
        <v>35</v>
      </c>
      <c r="P240" t="s">
        <v>26</v>
      </c>
      <c r="Q240" t="s">
        <v>27</v>
      </c>
    </row>
    <row r="241" spans="1:17" x14ac:dyDescent="0.3">
      <c r="A241" t="s">
        <v>589</v>
      </c>
      <c r="B241" t="s">
        <v>590</v>
      </c>
      <c r="C241" t="s">
        <v>39</v>
      </c>
      <c r="D241" t="s">
        <v>64</v>
      </c>
      <c r="E241" t="s">
        <v>192</v>
      </c>
      <c r="F241">
        <v>2024</v>
      </c>
      <c r="G241" t="s">
        <v>100</v>
      </c>
      <c r="H241">
        <v>151</v>
      </c>
      <c r="I241">
        <v>6.6</v>
      </c>
      <c r="J241">
        <v>331670</v>
      </c>
      <c r="K241">
        <v>755.87</v>
      </c>
      <c r="L241">
        <v>184.74</v>
      </c>
      <c r="M241" t="s">
        <v>42</v>
      </c>
      <c r="N241" t="s">
        <v>101</v>
      </c>
      <c r="O241" t="s">
        <v>59</v>
      </c>
      <c r="P241" t="s">
        <v>26</v>
      </c>
      <c r="Q241" t="s">
        <v>36</v>
      </c>
    </row>
    <row r="242" spans="1:17" x14ac:dyDescent="0.3">
      <c r="A242" t="s">
        <v>591</v>
      </c>
      <c r="B242" t="s">
        <v>592</v>
      </c>
      <c r="C242" t="s">
        <v>19</v>
      </c>
      <c r="D242" t="s">
        <v>20</v>
      </c>
      <c r="E242" t="s">
        <v>88</v>
      </c>
      <c r="F242">
        <v>2021</v>
      </c>
      <c r="G242" t="s">
        <v>93</v>
      </c>
      <c r="H242">
        <v>137</v>
      </c>
      <c r="I242">
        <v>6.9</v>
      </c>
      <c r="J242">
        <v>813417</v>
      </c>
      <c r="K242">
        <v>608.41999999999996</v>
      </c>
      <c r="L242">
        <v>153.65</v>
      </c>
      <c r="M242" t="s">
        <v>51</v>
      </c>
      <c r="N242" t="s">
        <v>24</v>
      </c>
      <c r="O242" t="s">
        <v>105</v>
      </c>
      <c r="P242" t="s">
        <v>45</v>
      </c>
      <c r="Q242" t="s">
        <v>36</v>
      </c>
    </row>
    <row r="243" spans="1:17" x14ac:dyDescent="0.3">
      <c r="A243" t="s">
        <v>593</v>
      </c>
      <c r="B243" t="s">
        <v>594</v>
      </c>
      <c r="C243" t="s">
        <v>116</v>
      </c>
      <c r="D243" t="s">
        <v>20</v>
      </c>
      <c r="E243" t="s">
        <v>31</v>
      </c>
      <c r="F243">
        <v>2022</v>
      </c>
      <c r="G243" t="s">
        <v>126</v>
      </c>
      <c r="H243">
        <v>96</v>
      </c>
      <c r="I243">
        <v>6.7</v>
      </c>
      <c r="J243">
        <v>226972</v>
      </c>
      <c r="K243">
        <v>689.21</v>
      </c>
      <c r="L243">
        <v>182.51</v>
      </c>
      <c r="M243" t="s">
        <v>33</v>
      </c>
      <c r="N243" t="s">
        <v>52</v>
      </c>
      <c r="O243" t="s">
        <v>59</v>
      </c>
      <c r="P243" t="s">
        <v>26</v>
      </c>
      <c r="Q243" t="s">
        <v>36</v>
      </c>
    </row>
    <row r="244" spans="1:17" x14ac:dyDescent="0.3">
      <c r="A244" t="s">
        <v>595</v>
      </c>
      <c r="B244" t="s">
        <v>596</v>
      </c>
      <c r="C244" t="s">
        <v>39</v>
      </c>
      <c r="D244" t="s">
        <v>72</v>
      </c>
      <c r="E244" t="s">
        <v>192</v>
      </c>
      <c r="F244">
        <v>2020</v>
      </c>
      <c r="G244" t="s">
        <v>100</v>
      </c>
      <c r="H244">
        <v>159</v>
      </c>
      <c r="I244">
        <v>8</v>
      </c>
      <c r="J244">
        <v>120270</v>
      </c>
      <c r="K244">
        <v>724.27</v>
      </c>
      <c r="L244">
        <v>185.65</v>
      </c>
      <c r="M244" t="s">
        <v>42</v>
      </c>
      <c r="N244" t="s">
        <v>119</v>
      </c>
      <c r="O244" t="s">
        <v>166</v>
      </c>
      <c r="P244" t="s">
        <v>26</v>
      </c>
      <c r="Q244" t="s">
        <v>152</v>
      </c>
    </row>
    <row r="245" spans="1:17" x14ac:dyDescent="0.3">
      <c r="A245" t="s">
        <v>597</v>
      </c>
      <c r="B245" t="s">
        <v>598</v>
      </c>
      <c r="C245" t="s">
        <v>130</v>
      </c>
      <c r="D245" t="s">
        <v>20</v>
      </c>
      <c r="E245" t="s">
        <v>41</v>
      </c>
      <c r="F245">
        <v>2022</v>
      </c>
      <c r="G245" t="s">
        <v>93</v>
      </c>
      <c r="H245">
        <v>175</v>
      </c>
      <c r="I245">
        <v>6.3</v>
      </c>
      <c r="J245">
        <v>729005</v>
      </c>
      <c r="K245">
        <v>217.4</v>
      </c>
      <c r="L245">
        <v>54.74</v>
      </c>
      <c r="M245" t="s">
        <v>23</v>
      </c>
      <c r="N245" t="s">
        <v>101</v>
      </c>
      <c r="O245" t="s">
        <v>74</v>
      </c>
      <c r="P245" t="s">
        <v>26</v>
      </c>
      <c r="Q245" t="s">
        <v>60</v>
      </c>
    </row>
    <row r="246" spans="1:17" x14ac:dyDescent="0.3">
      <c r="A246" t="s">
        <v>599</v>
      </c>
      <c r="B246" t="s">
        <v>600</v>
      </c>
      <c r="C246" t="s">
        <v>130</v>
      </c>
      <c r="D246" t="s">
        <v>20</v>
      </c>
      <c r="E246" t="s">
        <v>41</v>
      </c>
      <c r="F246">
        <v>2020</v>
      </c>
      <c r="G246" t="s">
        <v>32</v>
      </c>
      <c r="H246">
        <v>115</v>
      </c>
      <c r="I246">
        <v>7.5</v>
      </c>
      <c r="J246">
        <v>322509</v>
      </c>
      <c r="K246">
        <v>224.56</v>
      </c>
      <c r="L246">
        <v>41.61</v>
      </c>
      <c r="M246" t="s">
        <v>78</v>
      </c>
      <c r="N246" t="s">
        <v>24</v>
      </c>
      <c r="O246" t="s">
        <v>199</v>
      </c>
      <c r="P246" t="s">
        <v>26</v>
      </c>
      <c r="Q246" t="s">
        <v>54</v>
      </c>
    </row>
    <row r="247" spans="1:17" x14ac:dyDescent="0.3">
      <c r="A247" t="s">
        <v>601</v>
      </c>
      <c r="B247" t="s">
        <v>602</v>
      </c>
      <c r="C247" t="s">
        <v>39</v>
      </c>
      <c r="D247" t="s">
        <v>20</v>
      </c>
      <c r="E247" t="s">
        <v>92</v>
      </c>
      <c r="F247">
        <v>2020</v>
      </c>
      <c r="G247" t="s">
        <v>22</v>
      </c>
      <c r="H247">
        <v>151</v>
      </c>
      <c r="I247">
        <v>6.6</v>
      </c>
      <c r="J247">
        <v>392840</v>
      </c>
      <c r="L247">
        <v>132.32</v>
      </c>
      <c r="M247" t="s">
        <v>33</v>
      </c>
      <c r="N247" t="s">
        <v>89</v>
      </c>
      <c r="O247" t="s">
        <v>44</v>
      </c>
      <c r="P247" t="s">
        <v>45</v>
      </c>
      <c r="Q247" t="s">
        <v>27</v>
      </c>
    </row>
    <row r="248" spans="1:17" x14ac:dyDescent="0.3">
      <c r="A248" t="s">
        <v>603</v>
      </c>
      <c r="B248" t="s">
        <v>604</v>
      </c>
      <c r="C248" t="s">
        <v>39</v>
      </c>
      <c r="D248" t="s">
        <v>40</v>
      </c>
      <c r="E248" t="s">
        <v>41</v>
      </c>
      <c r="F248">
        <v>2016</v>
      </c>
      <c r="G248" t="s">
        <v>50</v>
      </c>
      <c r="H248">
        <v>173</v>
      </c>
      <c r="I248">
        <v>7.4</v>
      </c>
      <c r="J248">
        <v>402477</v>
      </c>
      <c r="K248">
        <v>149.72999999999999</v>
      </c>
      <c r="L248">
        <v>24.15</v>
      </c>
      <c r="M248" t="s">
        <v>42</v>
      </c>
      <c r="N248" t="s">
        <v>34</v>
      </c>
      <c r="O248" t="s">
        <v>74</v>
      </c>
      <c r="P248" t="s">
        <v>26</v>
      </c>
      <c r="Q248" t="s">
        <v>36</v>
      </c>
    </row>
    <row r="249" spans="1:17" x14ac:dyDescent="0.3">
      <c r="A249" t="s">
        <v>605</v>
      </c>
      <c r="B249" t="s">
        <v>606</v>
      </c>
      <c r="C249" t="s">
        <v>104</v>
      </c>
      <c r="D249" t="s">
        <v>20</v>
      </c>
      <c r="E249" t="s">
        <v>88</v>
      </c>
      <c r="F249">
        <v>2021</v>
      </c>
      <c r="G249" t="s">
        <v>96</v>
      </c>
      <c r="H249">
        <v>186</v>
      </c>
      <c r="I249">
        <v>6.8</v>
      </c>
      <c r="J249">
        <v>683335</v>
      </c>
      <c r="K249">
        <v>987.19</v>
      </c>
      <c r="L249">
        <v>219.67</v>
      </c>
      <c r="M249" t="s">
        <v>23</v>
      </c>
      <c r="N249" t="s">
        <v>109</v>
      </c>
      <c r="O249" t="s">
        <v>59</v>
      </c>
      <c r="P249" t="s">
        <v>26</v>
      </c>
      <c r="Q249" t="s">
        <v>27</v>
      </c>
    </row>
    <row r="250" spans="1:17" x14ac:dyDescent="0.3">
      <c r="A250" t="s">
        <v>607</v>
      </c>
      <c r="B250" t="s">
        <v>608</v>
      </c>
      <c r="C250" t="s">
        <v>39</v>
      </c>
      <c r="D250" t="s">
        <v>20</v>
      </c>
      <c r="E250" t="s">
        <v>49</v>
      </c>
      <c r="F250">
        <v>2019</v>
      </c>
      <c r="G250" t="s">
        <v>65</v>
      </c>
      <c r="H250">
        <v>109</v>
      </c>
      <c r="I250">
        <v>7.5</v>
      </c>
      <c r="J250">
        <v>885569</v>
      </c>
      <c r="K250">
        <v>963.65</v>
      </c>
      <c r="L250">
        <v>242.21</v>
      </c>
      <c r="M250" t="s">
        <v>23</v>
      </c>
      <c r="N250" t="s">
        <v>133</v>
      </c>
      <c r="O250" t="s">
        <v>53</v>
      </c>
      <c r="P250" t="s">
        <v>26</v>
      </c>
      <c r="Q250" t="s">
        <v>123</v>
      </c>
    </row>
    <row r="251" spans="1:17" x14ac:dyDescent="0.3">
      <c r="A251" t="s">
        <v>609</v>
      </c>
      <c r="B251" t="s">
        <v>610</v>
      </c>
      <c r="C251" t="s">
        <v>63</v>
      </c>
      <c r="D251" t="s">
        <v>20</v>
      </c>
      <c r="E251" t="s">
        <v>41</v>
      </c>
      <c r="F251">
        <v>2024</v>
      </c>
      <c r="G251" t="s">
        <v>96</v>
      </c>
      <c r="H251">
        <v>127</v>
      </c>
      <c r="I251">
        <v>5.5</v>
      </c>
      <c r="J251">
        <v>299184</v>
      </c>
      <c r="K251">
        <v>584.5</v>
      </c>
      <c r="L251">
        <v>114.68</v>
      </c>
      <c r="M251" t="s">
        <v>33</v>
      </c>
      <c r="N251" t="s">
        <v>66</v>
      </c>
      <c r="O251" t="s">
        <v>105</v>
      </c>
      <c r="P251" t="s">
        <v>45</v>
      </c>
      <c r="Q251" t="s">
        <v>27</v>
      </c>
    </row>
    <row r="252" spans="1:17" x14ac:dyDescent="0.3">
      <c r="A252" t="s">
        <v>611</v>
      </c>
      <c r="B252" t="s">
        <v>612</v>
      </c>
      <c r="C252" t="s">
        <v>19</v>
      </c>
      <c r="D252" t="s">
        <v>20</v>
      </c>
      <c r="E252" t="s">
        <v>88</v>
      </c>
      <c r="F252">
        <v>2024</v>
      </c>
      <c r="G252" t="s">
        <v>113</v>
      </c>
      <c r="H252">
        <v>93</v>
      </c>
      <c r="I252">
        <v>6.8</v>
      </c>
      <c r="J252">
        <v>844330</v>
      </c>
      <c r="K252">
        <v>159.93</v>
      </c>
      <c r="L252">
        <v>52.26</v>
      </c>
      <c r="M252" t="s">
        <v>33</v>
      </c>
      <c r="N252" t="s">
        <v>34</v>
      </c>
      <c r="O252" t="s">
        <v>199</v>
      </c>
      <c r="P252" t="s">
        <v>45</v>
      </c>
      <c r="Q252" t="s">
        <v>60</v>
      </c>
    </row>
    <row r="253" spans="1:17" x14ac:dyDescent="0.3">
      <c r="A253" t="s">
        <v>613</v>
      </c>
      <c r="B253" t="s">
        <v>614</v>
      </c>
      <c r="C253" t="s">
        <v>48</v>
      </c>
      <c r="D253" t="s">
        <v>20</v>
      </c>
      <c r="E253" t="s">
        <v>49</v>
      </c>
      <c r="F253">
        <v>2025</v>
      </c>
      <c r="G253" t="s">
        <v>126</v>
      </c>
      <c r="H253">
        <v>130</v>
      </c>
      <c r="I253">
        <v>8.1</v>
      </c>
      <c r="J253">
        <v>131609</v>
      </c>
      <c r="K253">
        <v>525.13</v>
      </c>
      <c r="L253">
        <v>113.29</v>
      </c>
      <c r="M253" t="s">
        <v>51</v>
      </c>
      <c r="N253" t="s">
        <v>89</v>
      </c>
      <c r="O253" t="s">
        <v>136</v>
      </c>
      <c r="P253" t="s">
        <v>26</v>
      </c>
      <c r="Q253" t="s">
        <v>68</v>
      </c>
    </row>
    <row r="254" spans="1:17" x14ac:dyDescent="0.3">
      <c r="A254" t="s">
        <v>615</v>
      </c>
      <c r="B254" t="s">
        <v>616</v>
      </c>
      <c r="C254" t="s">
        <v>104</v>
      </c>
      <c r="D254" t="s">
        <v>20</v>
      </c>
      <c r="E254" t="s">
        <v>82</v>
      </c>
      <c r="F254">
        <v>2018</v>
      </c>
      <c r="G254" t="s">
        <v>32</v>
      </c>
      <c r="H254">
        <v>137</v>
      </c>
      <c r="I254">
        <v>7.5</v>
      </c>
      <c r="J254">
        <v>513111</v>
      </c>
      <c r="K254">
        <v>336.65</v>
      </c>
      <c r="L254">
        <v>139.68</v>
      </c>
      <c r="M254" t="s">
        <v>33</v>
      </c>
      <c r="N254" t="s">
        <v>145</v>
      </c>
      <c r="O254" t="s">
        <v>67</v>
      </c>
      <c r="P254" t="s">
        <v>26</v>
      </c>
      <c r="Q254" t="s">
        <v>68</v>
      </c>
    </row>
    <row r="255" spans="1:17" x14ac:dyDescent="0.3">
      <c r="A255" t="s">
        <v>617</v>
      </c>
      <c r="B255" t="s">
        <v>618</v>
      </c>
      <c r="C255" t="s">
        <v>130</v>
      </c>
      <c r="D255" t="s">
        <v>20</v>
      </c>
      <c r="E255" t="s">
        <v>49</v>
      </c>
      <c r="F255">
        <v>2018</v>
      </c>
      <c r="G255" t="s">
        <v>22</v>
      </c>
      <c r="H255">
        <v>137</v>
      </c>
      <c r="I255">
        <v>7.6</v>
      </c>
      <c r="J255">
        <v>799668</v>
      </c>
      <c r="K255">
        <v>1038.8900000000001</v>
      </c>
      <c r="L255">
        <v>139.1</v>
      </c>
      <c r="M255" t="s">
        <v>51</v>
      </c>
      <c r="N255" t="s">
        <v>52</v>
      </c>
      <c r="O255" t="s">
        <v>199</v>
      </c>
      <c r="P255" t="s">
        <v>45</v>
      </c>
      <c r="Q255" t="s">
        <v>68</v>
      </c>
    </row>
    <row r="256" spans="1:17" x14ac:dyDescent="0.3">
      <c r="A256" t="s">
        <v>619</v>
      </c>
      <c r="B256" t="s">
        <v>620</v>
      </c>
      <c r="C256" t="s">
        <v>144</v>
      </c>
      <c r="D256" t="s">
        <v>20</v>
      </c>
      <c r="E256" t="s">
        <v>88</v>
      </c>
      <c r="F256">
        <v>2021</v>
      </c>
      <c r="G256" t="s">
        <v>93</v>
      </c>
      <c r="H256">
        <v>87</v>
      </c>
      <c r="I256">
        <v>7.5</v>
      </c>
      <c r="J256">
        <v>923155</v>
      </c>
      <c r="K256">
        <v>103.44</v>
      </c>
      <c r="L256">
        <v>122.77</v>
      </c>
      <c r="M256" t="s">
        <v>23</v>
      </c>
      <c r="N256" t="s">
        <v>66</v>
      </c>
      <c r="O256" t="s">
        <v>148</v>
      </c>
      <c r="P256" t="s">
        <v>45</v>
      </c>
      <c r="Q256" t="s">
        <v>54</v>
      </c>
    </row>
    <row r="257" spans="1:17" x14ac:dyDescent="0.3">
      <c r="A257" t="s">
        <v>621</v>
      </c>
      <c r="B257" t="s">
        <v>622</v>
      </c>
      <c r="C257" t="s">
        <v>48</v>
      </c>
      <c r="D257" t="s">
        <v>20</v>
      </c>
      <c r="E257" t="s">
        <v>49</v>
      </c>
      <c r="F257">
        <v>2015</v>
      </c>
      <c r="G257" t="s">
        <v>100</v>
      </c>
      <c r="H257">
        <v>102</v>
      </c>
      <c r="I257">
        <v>7.8</v>
      </c>
      <c r="J257">
        <v>439339</v>
      </c>
      <c r="K257">
        <v>137.91</v>
      </c>
      <c r="L257">
        <v>44.46</v>
      </c>
      <c r="M257" t="s">
        <v>78</v>
      </c>
      <c r="N257" t="s">
        <v>83</v>
      </c>
      <c r="O257" t="s">
        <v>120</v>
      </c>
      <c r="P257" t="s">
        <v>45</v>
      </c>
      <c r="Q257" t="s">
        <v>36</v>
      </c>
    </row>
    <row r="258" spans="1:17" x14ac:dyDescent="0.3">
      <c r="A258" t="s">
        <v>623</v>
      </c>
      <c r="B258" t="s">
        <v>624</v>
      </c>
      <c r="C258" t="s">
        <v>144</v>
      </c>
      <c r="D258" t="s">
        <v>20</v>
      </c>
      <c r="E258" t="s">
        <v>21</v>
      </c>
      <c r="F258">
        <v>2021</v>
      </c>
      <c r="G258" t="s">
        <v>108</v>
      </c>
      <c r="H258">
        <v>181</v>
      </c>
      <c r="I258">
        <v>7.3</v>
      </c>
      <c r="J258">
        <v>687940</v>
      </c>
      <c r="K258">
        <v>25.65</v>
      </c>
      <c r="L258">
        <v>4.95</v>
      </c>
      <c r="M258" t="s">
        <v>23</v>
      </c>
      <c r="N258" t="s">
        <v>119</v>
      </c>
      <c r="O258" t="s">
        <v>166</v>
      </c>
      <c r="P258" t="s">
        <v>26</v>
      </c>
      <c r="Q258" t="s">
        <v>36</v>
      </c>
    </row>
    <row r="259" spans="1:17" x14ac:dyDescent="0.3">
      <c r="A259" t="s">
        <v>625</v>
      </c>
      <c r="B259" t="s">
        <v>626</v>
      </c>
      <c r="C259" t="s">
        <v>144</v>
      </c>
      <c r="D259" t="s">
        <v>20</v>
      </c>
      <c r="E259" t="s">
        <v>208</v>
      </c>
      <c r="F259">
        <v>2016</v>
      </c>
      <c r="G259" t="s">
        <v>126</v>
      </c>
      <c r="H259">
        <v>167</v>
      </c>
      <c r="I259">
        <v>7.9</v>
      </c>
      <c r="J259">
        <v>181741</v>
      </c>
      <c r="K259">
        <v>64.89</v>
      </c>
      <c r="L259">
        <v>11.71</v>
      </c>
      <c r="M259" t="s">
        <v>33</v>
      </c>
      <c r="N259" t="s">
        <v>101</v>
      </c>
      <c r="O259" t="s">
        <v>97</v>
      </c>
      <c r="P259" t="s">
        <v>45</v>
      </c>
      <c r="Q259" t="s">
        <v>36</v>
      </c>
    </row>
    <row r="260" spans="1:17" x14ac:dyDescent="0.3">
      <c r="A260" t="s">
        <v>627</v>
      </c>
      <c r="B260" t="s">
        <v>628</v>
      </c>
      <c r="C260" t="s">
        <v>19</v>
      </c>
      <c r="D260" t="s">
        <v>20</v>
      </c>
      <c r="E260" t="s">
        <v>41</v>
      </c>
      <c r="F260">
        <v>2018</v>
      </c>
      <c r="G260" t="s">
        <v>100</v>
      </c>
      <c r="H260">
        <v>89</v>
      </c>
      <c r="I260">
        <v>7.4</v>
      </c>
      <c r="J260">
        <v>472378</v>
      </c>
      <c r="K260">
        <v>441.83</v>
      </c>
      <c r="L260">
        <v>67.180000000000007</v>
      </c>
      <c r="M260" t="s">
        <v>51</v>
      </c>
      <c r="N260" t="s">
        <v>89</v>
      </c>
      <c r="O260" t="s">
        <v>199</v>
      </c>
      <c r="P260" t="s">
        <v>26</v>
      </c>
      <c r="Q260" t="s">
        <v>36</v>
      </c>
    </row>
    <row r="261" spans="1:17" x14ac:dyDescent="0.3">
      <c r="A261" t="s">
        <v>629</v>
      </c>
      <c r="B261" t="s">
        <v>630</v>
      </c>
      <c r="C261" t="s">
        <v>39</v>
      </c>
      <c r="D261" t="s">
        <v>20</v>
      </c>
      <c r="E261" t="s">
        <v>31</v>
      </c>
      <c r="F261">
        <v>2021</v>
      </c>
      <c r="G261" t="s">
        <v>126</v>
      </c>
      <c r="H261">
        <v>89</v>
      </c>
      <c r="I261">
        <v>7.7</v>
      </c>
      <c r="J261">
        <v>477719</v>
      </c>
      <c r="K261">
        <v>59.39</v>
      </c>
      <c r="L261">
        <v>23.84</v>
      </c>
      <c r="M261" t="s">
        <v>51</v>
      </c>
      <c r="N261" t="s">
        <v>52</v>
      </c>
      <c r="O261" t="s">
        <v>166</v>
      </c>
      <c r="P261" t="s">
        <v>45</v>
      </c>
      <c r="Q261" t="s">
        <v>68</v>
      </c>
    </row>
    <row r="262" spans="1:17" x14ac:dyDescent="0.3">
      <c r="A262" t="s">
        <v>631</v>
      </c>
      <c r="B262" t="s">
        <v>632</v>
      </c>
      <c r="C262" t="s">
        <v>116</v>
      </c>
      <c r="D262" t="s">
        <v>57</v>
      </c>
      <c r="E262" t="s">
        <v>92</v>
      </c>
      <c r="F262">
        <v>2018</v>
      </c>
      <c r="G262" t="s">
        <v>32</v>
      </c>
      <c r="H262">
        <v>124</v>
      </c>
      <c r="I262">
        <v>5.9</v>
      </c>
      <c r="J262">
        <v>419173</v>
      </c>
      <c r="K262">
        <v>1282.3599999999999</v>
      </c>
      <c r="L262">
        <v>248.8</v>
      </c>
      <c r="M262" t="s">
        <v>58</v>
      </c>
      <c r="N262" t="s">
        <v>66</v>
      </c>
      <c r="O262" t="s">
        <v>97</v>
      </c>
      <c r="P262" t="s">
        <v>26</v>
      </c>
      <c r="Q262" t="s">
        <v>152</v>
      </c>
    </row>
    <row r="263" spans="1:17" x14ac:dyDescent="0.3">
      <c r="A263" t="s">
        <v>633</v>
      </c>
      <c r="B263" t="s">
        <v>634</v>
      </c>
      <c r="C263" t="s">
        <v>19</v>
      </c>
      <c r="D263" t="s">
        <v>87</v>
      </c>
      <c r="E263" t="s">
        <v>88</v>
      </c>
      <c r="F263">
        <v>2022</v>
      </c>
      <c r="G263" t="s">
        <v>113</v>
      </c>
      <c r="H263">
        <v>110</v>
      </c>
      <c r="I263">
        <v>7.5</v>
      </c>
      <c r="J263">
        <v>320815</v>
      </c>
      <c r="K263">
        <v>1364.01</v>
      </c>
      <c r="L263">
        <v>205.49</v>
      </c>
      <c r="M263" t="s">
        <v>42</v>
      </c>
      <c r="N263" t="s">
        <v>73</v>
      </c>
      <c r="O263" t="s">
        <v>151</v>
      </c>
      <c r="P263" t="s">
        <v>26</v>
      </c>
      <c r="Q263" t="s">
        <v>54</v>
      </c>
    </row>
    <row r="264" spans="1:17" x14ac:dyDescent="0.3">
      <c r="A264" t="s">
        <v>635</v>
      </c>
      <c r="B264" t="s">
        <v>636</v>
      </c>
      <c r="C264" t="s">
        <v>48</v>
      </c>
      <c r="D264" t="s">
        <v>20</v>
      </c>
      <c r="E264" t="s">
        <v>88</v>
      </c>
      <c r="F264">
        <v>2016</v>
      </c>
      <c r="G264" t="s">
        <v>50</v>
      </c>
      <c r="H264">
        <v>155</v>
      </c>
      <c r="I264">
        <v>8.6999999999999993</v>
      </c>
      <c r="J264">
        <v>68879</v>
      </c>
      <c r="K264">
        <v>126.96</v>
      </c>
      <c r="L264">
        <v>74.62</v>
      </c>
      <c r="M264" t="s">
        <v>78</v>
      </c>
      <c r="N264" t="s">
        <v>34</v>
      </c>
      <c r="O264" t="s">
        <v>97</v>
      </c>
      <c r="P264" t="s">
        <v>26</v>
      </c>
      <c r="Q264" t="s">
        <v>60</v>
      </c>
    </row>
    <row r="265" spans="1:17" x14ac:dyDescent="0.3">
      <c r="A265" t="s">
        <v>637</v>
      </c>
      <c r="B265" t="s">
        <v>638</v>
      </c>
      <c r="C265" t="s">
        <v>86</v>
      </c>
      <c r="D265" t="s">
        <v>20</v>
      </c>
      <c r="E265" t="s">
        <v>82</v>
      </c>
      <c r="F265">
        <v>2025</v>
      </c>
      <c r="G265" t="s">
        <v>65</v>
      </c>
      <c r="H265">
        <v>145</v>
      </c>
      <c r="I265">
        <v>6.1</v>
      </c>
      <c r="J265">
        <v>139541</v>
      </c>
      <c r="K265">
        <v>784.73</v>
      </c>
      <c r="L265">
        <v>162.55000000000001</v>
      </c>
      <c r="M265" t="s">
        <v>51</v>
      </c>
      <c r="N265" t="s">
        <v>179</v>
      </c>
      <c r="O265" t="s">
        <v>44</v>
      </c>
      <c r="P265" t="s">
        <v>45</v>
      </c>
      <c r="Q265" t="s">
        <v>68</v>
      </c>
    </row>
    <row r="266" spans="1:17" x14ac:dyDescent="0.3">
      <c r="A266" t="s">
        <v>639</v>
      </c>
      <c r="B266" t="s">
        <v>640</v>
      </c>
      <c r="C266" t="s">
        <v>71</v>
      </c>
      <c r="D266" t="s">
        <v>20</v>
      </c>
      <c r="E266" t="s">
        <v>49</v>
      </c>
      <c r="F266">
        <v>2015</v>
      </c>
      <c r="G266" t="s">
        <v>155</v>
      </c>
      <c r="H266">
        <v>102</v>
      </c>
      <c r="I266">
        <v>6.2</v>
      </c>
      <c r="J266">
        <v>936190</v>
      </c>
      <c r="K266">
        <v>1473.33</v>
      </c>
      <c r="L266">
        <v>216.58</v>
      </c>
      <c r="M266" t="s">
        <v>33</v>
      </c>
      <c r="N266" t="s">
        <v>52</v>
      </c>
      <c r="O266" t="s">
        <v>25</v>
      </c>
      <c r="P266" t="s">
        <v>26</v>
      </c>
      <c r="Q266" t="s">
        <v>68</v>
      </c>
    </row>
    <row r="267" spans="1:17" x14ac:dyDescent="0.3">
      <c r="A267" t="s">
        <v>641</v>
      </c>
      <c r="B267" t="s">
        <v>642</v>
      </c>
      <c r="C267" t="s">
        <v>19</v>
      </c>
      <c r="D267" t="s">
        <v>20</v>
      </c>
      <c r="E267" t="s">
        <v>41</v>
      </c>
      <c r="F267">
        <v>2016</v>
      </c>
      <c r="G267" t="s">
        <v>77</v>
      </c>
      <c r="H267">
        <v>157</v>
      </c>
      <c r="J267">
        <v>474269</v>
      </c>
      <c r="K267">
        <v>455.92</v>
      </c>
      <c r="L267">
        <v>160.47</v>
      </c>
      <c r="M267" t="s">
        <v>23</v>
      </c>
      <c r="N267" t="s">
        <v>43</v>
      </c>
      <c r="O267" t="s">
        <v>127</v>
      </c>
      <c r="P267" t="s">
        <v>26</v>
      </c>
      <c r="Q267" t="s">
        <v>152</v>
      </c>
    </row>
    <row r="268" spans="1:17" x14ac:dyDescent="0.3">
      <c r="A268" t="s">
        <v>643</v>
      </c>
      <c r="B268" t="s">
        <v>644</v>
      </c>
      <c r="C268" t="s">
        <v>130</v>
      </c>
      <c r="D268" t="s">
        <v>72</v>
      </c>
      <c r="E268" t="s">
        <v>41</v>
      </c>
      <c r="F268">
        <v>2018</v>
      </c>
      <c r="G268" t="s">
        <v>108</v>
      </c>
      <c r="H268">
        <v>117</v>
      </c>
      <c r="I268">
        <v>6.7</v>
      </c>
      <c r="J268">
        <v>692001</v>
      </c>
      <c r="K268">
        <v>293.25</v>
      </c>
      <c r="L268">
        <v>170.85</v>
      </c>
      <c r="M268" t="s">
        <v>42</v>
      </c>
      <c r="N268" t="s">
        <v>66</v>
      </c>
      <c r="O268" t="s">
        <v>53</v>
      </c>
      <c r="P268" t="s">
        <v>26</v>
      </c>
      <c r="Q268" t="s">
        <v>68</v>
      </c>
    </row>
    <row r="269" spans="1:17" x14ac:dyDescent="0.3">
      <c r="A269" t="s">
        <v>645</v>
      </c>
      <c r="B269" t="s">
        <v>646</v>
      </c>
      <c r="C269" t="s">
        <v>19</v>
      </c>
      <c r="D269" t="s">
        <v>20</v>
      </c>
      <c r="E269" t="s">
        <v>208</v>
      </c>
      <c r="F269">
        <v>2017</v>
      </c>
      <c r="G269" t="s">
        <v>126</v>
      </c>
      <c r="H269">
        <v>92</v>
      </c>
      <c r="I269">
        <v>6.4</v>
      </c>
      <c r="J269">
        <v>346458</v>
      </c>
      <c r="K269">
        <v>597.37</v>
      </c>
      <c r="L269">
        <v>168.16</v>
      </c>
      <c r="M269" t="s">
        <v>33</v>
      </c>
      <c r="N269" t="s">
        <v>119</v>
      </c>
      <c r="O269" t="s">
        <v>53</v>
      </c>
      <c r="P269" t="s">
        <v>26</v>
      </c>
      <c r="Q269" t="s">
        <v>60</v>
      </c>
    </row>
    <row r="270" spans="1:17" x14ac:dyDescent="0.3">
      <c r="A270" t="s">
        <v>647</v>
      </c>
      <c r="B270" t="s">
        <v>648</v>
      </c>
      <c r="C270" t="s">
        <v>116</v>
      </c>
      <c r="D270" t="s">
        <v>20</v>
      </c>
      <c r="E270" t="s">
        <v>49</v>
      </c>
      <c r="F270">
        <v>2017</v>
      </c>
      <c r="G270" t="s">
        <v>93</v>
      </c>
      <c r="H270">
        <v>125</v>
      </c>
      <c r="I270">
        <v>7.8</v>
      </c>
      <c r="J270">
        <v>908365</v>
      </c>
      <c r="K270">
        <v>78.680000000000007</v>
      </c>
      <c r="L270">
        <v>91.04</v>
      </c>
      <c r="M270" t="s">
        <v>23</v>
      </c>
      <c r="N270" t="s">
        <v>179</v>
      </c>
      <c r="O270" t="s">
        <v>166</v>
      </c>
      <c r="P270" t="s">
        <v>45</v>
      </c>
      <c r="Q270" t="s">
        <v>60</v>
      </c>
    </row>
    <row r="271" spans="1:17" x14ac:dyDescent="0.3">
      <c r="A271" t="s">
        <v>649</v>
      </c>
      <c r="B271" t="s">
        <v>650</v>
      </c>
      <c r="C271" t="s">
        <v>63</v>
      </c>
      <c r="D271" t="s">
        <v>87</v>
      </c>
      <c r="E271" t="s">
        <v>41</v>
      </c>
      <c r="F271">
        <v>2024</v>
      </c>
      <c r="G271" t="s">
        <v>113</v>
      </c>
      <c r="H271">
        <v>126</v>
      </c>
      <c r="I271">
        <v>5.8</v>
      </c>
      <c r="J271">
        <v>395122</v>
      </c>
      <c r="K271">
        <v>433.73</v>
      </c>
      <c r="L271">
        <v>71.510000000000005</v>
      </c>
      <c r="M271" t="s">
        <v>42</v>
      </c>
      <c r="N271" t="s">
        <v>43</v>
      </c>
      <c r="O271" t="s">
        <v>151</v>
      </c>
      <c r="P271" t="s">
        <v>45</v>
      </c>
      <c r="Q271" t="s">
        <v>60</v>
      </c>
    </row>
    <row r="272" spans="1:17" x14ac:dyDescent="0.3">
      <c r="A272" t="s">
        <v>651</v>
      </c>
      <c r="B272" t="s">
        <v>652</v>
      </c>
      <c r="C272" t="s">
        <v>39</v>
      </c>
      <c r="D272" t="s">
        <v>40</v>
      </c>
      <c r="E272" t="s">
        <v>88</v>
      </c>
      <c r="F272">
        <v>2015</v>
      </c>
      <c r="G272" t="s">
        <v>50</v>
      </c>
      <c r="H272">
        <v>168</v>
      </c>
      <c r="I272">
        <v>8.5</v>
      </c>
      <c r="J272">
        <v>216197</v>
      </c>
      <c r="K272">
        <v>503.31</v>
      </c>
      <c r="L272">
        <v>172.57</v>
      </c>
      <c r="M272" t="s">
        <v>42</v>
      </c>
      <c r="N272" t="s">
        <v>43</v>
      </c>
      <c r="O272" t="s">
        <v>105</v>
      </c>
      <c r="P272" t="s">
        <v>26</v>
      </c>
      <c r="Q272" t="s">
        <v>123</v>
      </c>
    </row>
    <row r="273" spans="1:17" x14ac:dyDescent="0.3">
      <c r="A273" t="s">
        <v>653</v>
      </c>
      <c r="B273" t="s">
        <v>654</v>
      </c>
      <c r="C273" t="s">
        <v>48</v>
      </c>
      <c r="D273" t="s">
        <v>20</v>
      </c>
      <c r="E273" t="s">
        <v>31</v>
      </c>
      <c r="F273">
        <v>2022</v>
      </c>
      <c r="G273" t="s">
        <v>126</v>
      </c>
      <c r="H273">
        <v>150</v>
      </c>
      <c r="I273">
        <v>7.5</v>
      </c>
      <c r="J273">
        <v>813564</v>
      </c>
      <c r="K273">
        <v>1016.84</v>
      </c>
      <c r="L273">
        <v>136.69</v>
      </c>
      <c r="M273" t="s">
        <v>51</v>
      </c>
      <c r="N273" t="s">
        <v>52</v>
      </c>
      <c r="O273" t="s">
        <v>59</v>
      </c>
      <c r="P273" t="s">
        <v>45</v>
      </c>
      <c r="Q273" t="s">
        <v>36</v>
      </c>
    </row>
    <row r="274" spans="1:17" x14ac:dyDescent="0.3">
      <c r="A274" t="s">
        <v>655</v>
      </c>
      <c r="B274" t="s">
        <v>656</v>
      </c>
      <c r="C274" t="s">
        <v>130</v>
      </c>
      <c r="D274" t="s">
        <v>72</v>
      </c>
      <c r="E274" t="s">
        <v>41</v>
      </c>
      <c r="F274">
        <v>2025</v>
      </c>
      <c r="G274" t="s">
        <v>22</v>
      </c>
      <c r="H274">
        <v>132</v>
      </c>
      <c r="I274">
        <v>6.9</v>
      </c>
      <c r="J274">
        <v>887782</v>
      </c>
      <c r="K274">
        <v>212.51</v>
      </c>
      <c r="L274">
        <v>129.94999999999999</v>
      </c>
      <c r="M274" t="s">
        <v>42</v>
      </c>
      <c r="N274" t="s">
        <v>52</v>
      </c>
      <c r="O274" t="s">
        <v>120</v>
      </c>
      <c r="P274" t="s">
        <v>26</v>
      </c>
      <c r="Q274" t="s">
        <v>27</v>
      </c>
    </row>
    <row r="275" spans="1:17" x14ac:dyDescent="0.3">
      <c r="A275" t="s">
        <v>657</v>
      </c>
      <c r="B275" t="s">
        <v>658</v>
      </c>
      <c r="C275" t="s">
        <v>63</v>
      </c>
      <c r="D275" t="s">
        <v>20</v>
      </c>
      <c r="E275" t="s">
        <v>31</v>
      </c>
      <c r="F275">
        <v>2016</v>
      </c>
      <c r="G275" t="s">
        <v>113</v>
      </c>
      <c r="H275">
        <v>141</v>
      </c>
      <c r="I275">
        <v>8.1</v>
      </c>
      <c r="J275">
        <v>222459</v>
      </c>
      <c r="K275">
        <v>806.26</v>
      </c>
      <c r="L275">
        <v>228.53</v>
      </c>
      <c r="M275" t="s">
        <v>33</v>
      </c>
      <c r="N275" t="s">
        <v>52</v>
      </c>
      <c r="O275" t="s">
        <v>97</v>
      </c>
      <c r="P275" t="s">
        <v>26</v>
      </c>
      <c r="Q275" t="s">
        <v>68</v>
      </c>
    </row>
    <row r="276" spans="1:17" x14ac:dyDescent="0.3">
      <c r="A276" t="s">
        <v>659</v>
      </c>
      <c r="B276" t="s">
        <v>660</v>
      </c>
      <c r="C276" t="s">
        <v>19</v>
      </c>
      <c r="D276" t="s">
        <v>64</v>
      </c>
      <c r="E276" t="s">
        <v>88</v>
      </c>
      <c r="F276">
        <v>2022</v>
      </c>
      <c r="G276" t="s">
        <v>77</v>
      </c>
      <c r="H276">
        <v>104</v>
      </c>
      <c r="I276">
        <v>6.1</v>
      </c>
      <c r="J276">
        <v>5302</v>
      </c>
      <c r="K276">
        <v>1081.8</v>
      </c>
      <c r="L276">
        <v>242.6</v>
      </c>
      <c r="M276" t="s">
        <v>42</v>
      </c>
      <c r="N276" t="s">
        <v>145</v>
      </c>
      <c r="O276" t="s">
        <v>245</v>
      </c>
      <c r="P276" t="s">
        <v>26</v>
      </c>
      <c r="Q276" t="s">
        <v>54</v>
      </c>
    </row>
    <row r="277" spans="1:17" x14ac:dyDescent="0.3">
      <c r="A277" t="s">
        <v>661</v>
      </c>
      <c r="B277" t="s">
        <v>662</v>
      </c>
      <c r="C277" t="s">
        <v>48</v>
      </c>
      <c r="D277" t="s">
        <v>20</v>
      </c>
      <c r="E277" t="s">
        <v>88</v>
      </c>
      <c r="F277">
        <v>2019</v>
      </c>
      <c r="G277" t="s">
        <v>100</v>
      </c>
      <c r="H277">
        <v>126</v>
      </c>
      <c r="I277">
        <v>7.8</v>
      </c>
      <c r="J277">
        <v>452374</v>
      </c>
      <c r="K277">
        <v>152.54</v>
      </c>
      <c r="L277">
        <v>45.57</v>
      </c>
      <c r="M277" t="s">
        <v>23</v>
      </c>
      <c r="N277" t="s">
        <v>101</v>
      </c>
      <c r="O277" t="s">
        <v>127</v>
      </c>
      <c r="P277" t="s">
        <v>26</v>
      </c>
      <c r="Q277" t="s">
        <v>152</v>
      </c>
    </row>
    <row r="278" spans="1:17" x14ac:dyDescent="0.3">
      <c r="A278" t="s">
        <v>663</v>
      </c>
      <c r="B278" t="s">
        <v>664</v>
      </c>
      <c r="C278" t="s">
        <v>86</v>
      </c>
      <c r="D278" t="s">
        <v>87</v>
      </c>
      <c r="E278" t="s">
        <v>88</v>
      </c>
      <c r="F278">
        <v>2024</v>
      </c>
      <c r="G278" t="s">
        <v>50</v>
      </c>
      <c r="H278">
        <v>169</v>
      </c>
      <c r="I278">
        <v>7</v>
      </c>
      <c r="J278">
        <v>27491</v>
      </c>
      <c r="K278">
        <v>1231.26</v>
      </c>
      <c r="L278">
        <v>164.54</v>
      </c>
      <c r="M278" t="s">
        <v>42</v>
      </c>
      <c r="N278" t="s">
        <v>66</v>
      </c>
      <c r="O278" t="s">
        <v>25</v>
      </c>
      <c r="P278" t="s">
        <v>26</v>
      </c>
      <c r="Q278" t="s">
        <v>27</v>
      </c>
    </row>
    <row r="279" spans="1:17" x14ac:dyDescent="0.3">
      <c r="A279" t="s">
        <v>665</v>
      </c>
      <c r="B279" t="s">
        <v>666</v>
      </c>
      <c r="C279" t="s">
        <v>130</v>
      </c>
      <c r="D279" t="s">
        <v>20</v>
      </c>
      <c r="E279" t="s">
        <v>49</v>
      </c>
      <c r="F279">
        <v>2016</v>
      </c>
      <c r="G279" t="s">
        <v>113</v>
      </c>
      <c r="H279">
        <v>105</v>
      </c>
      <c r="I279">
        <v>7.3</v>
      </c>
      <c r="J279">
        <v>525003</v>
      </c>
      <c r="K279">
        <v>121.99</v>
      </c>
      <c r="L279">
        <v>24.67</v>
      </c>
      <c r="M279" t="s">
        <v>51</v>
      </c>
      <c r="N279" t="s">
        <v>73</v>
      </c>
      <c r="O279" t="s">
        <v>74</v>
      </c>
      <c r="P279" t="s">
        <v>26</v>
      </c>
      <c r="Q279" t="s">
        <v>123</v>
      </c>
    </row>
    <row r="280" spans="1:17" x14ac:dyDescent="0.3">
      <c r="A280" t="s">
        <v>667</v>
      </c>
      <c r="B280" t="s">
        <v>668</v>
      </c>
      <c r="C280" t="s">
        <v>30</v>
      </c>
      <c r="D280" t="s">
        <v>20</v>
      </c>
      <c r="E280" t="s">
        <v>31</v>
      </c>
      <c r="F280">
        <v>2021</v>
      </c>
      <c r="G280" t="s">
        <v>108</v>
      </c>
      <c r="H280">
        <v>137</v>
      </c>
      <c r="I280">
        <v>7.2</v>
      </c>
      <c r="J280">
        <v>167544</v>
      </c>
      <c r="K280">
        <v>821.08</v>
      </c>
      <c r="L280">
        <v>243.53</v>
      </c>
      <c r="M280" t="s">
        <v>78</v>
      </c>
      <c r="N280" t="s">
        <v>179</v>
      </c>
      <c r="O280" t="s">
        <v>25</v>
      </c>
      <c r="P280" t="s">
        <v>26</v>
      </c>
      <c r="Q280" t="s">
        <v>60</v>
      </c>
    </row>
    <row r="281" spans="1:17" x14ac:dyDescent="0.3">
      <c r="A281" t="s">
        <v>669</v>
      </c>
      <c r="B281" t="s">
        <v>670</v>
      </c>
      <c r="C281" t="s">
        <v>39</v>
      </c>
      <c r="D281" t="s">
        <v>64</v>
      </c>
      <c r="E281" t="s">
        <v>88</v>
      </c>
      <c r="F281">
        <v>2016</v>
      </c>
      <c r="G281" t="s">
        <v>126</v>
      </c>
      <c r="H281">
        <v>157</v>
      </c>
      <c r="I281">
        <v>7.4</v>
      </c>
      <c r="J281">
        <v>9686</v>
      </c>
      <c r="K281">
        <v>291.32</v>
      </c>
      <c r="L281">
        <v>153.36000000000001</v>
      </c>
      <c r="M281" t="s">
        <v>42</v>
      </c>
      <c r="N281" t="s">
        <v>24</v>
      </c>
      <c r="O281" t="s">
        <v>151</v>
      </c>
      <c r="P281" t="s">
        <v>26</v>
      </c>
      <c r="Q281" t="s">
        <v>27</v>
      </c>
    </row>
    <row r="282" spans="1:17" x14ac:dyDescent="0.3">
      <c r="A282" t="s">
        <v>671</v>
      </c>
      <c r="B282" t="s">
        <v>672</v>
      </c>
      <c r="C282" t="s">
        <v>116</v>
      </c>
      <c r="D282" t="s">
        <v>64</v>
      </c>
      <c r="E282" t="s">
        <v>41</v>
      </c>
      <c r="F282">
        <v>2021</v>
      </c>
      <c r="G282" t="s">
        <v>77</v>
      </c>
      <c r="H282">
        <v>173</v>
      </c>
      <c r="I282">
        <v>7.6</v>
      </c>
      <c r="J282">
        <v>842163</v>
      </c>
      <c r="K282">
        <v>314.7</v>
      </c>
      <c r="L282">
        <v>111.6</v>
      </c>
      <c r="M282" t="s">
        <v>42</v>
      </c>
      <c r="N282" t="s">
        <v>43</v>
      </c>
      <c r="O282" t="s">
        <v>199</v>
      </c>
      <c r="P282" t="s">
        <v>26</v>
      </c>
      <c r="Q282" t="s">
        <v>60</v>
      </c>
    </row>
    <row r="283" spans="1:17" x14ac:dyDescent="0.3">
      <c r="A283" t="s">
        <v>673</v>
      </c>
      <c r="B283" t="s">
        <v>674</v>
      </c>
      <c r="C283" t="s">
        <v>19</v>
      </c>
      <c r="D283" t="s">
        <v>64</v>
      </c>
      <c r="E283" t="s">
        <v>88</v>
      </c>
      <c r="F283">
        <v>2019</v>
      </c>
      <c r="G283" t="s">
        <v>50</v>
      </c>
      <c r="H283">
        <v>108</v>
      </c>
      <c r="I283">
        <v>6.7</v>
      </c>
      <c r="J283">
        <v>791862</v>
      </c>
      <c r="K283">
        <v>326.95</v>
      </c>
      <c r="L283">
        <v>135.41</v>
      </c>
      <c r="M283" t="s">
        <v>42</v>
      </c>
      <c r="N283" t="s">
        <v>140</v>
      </c>
      <c r="O283" t="s">
        <v>105</v>
      </c>
      <c r="P283" t="s">
        <v>26</v>
      </c>
      <c r="Q283" t="s">
        <v>152</v>
      </c>
    </row>
    <row r="284" spans="1:17" x14ac:dyDescent="0.3">
      <c r="A284" t="s">
        <v>675</v>
      </c>
      <c r="B284" t="s">
        <v>676</v>
      </c>
      <c r="C284" t="s">
        <v>30</v>
      </c>
      <c r="D284" t="s">
        <v>20</v>
      </c>
      <c r="E284" t="s">
        <v>139</v>
      </c>
      <c r="F284">
        <v>2025</v>
      </c>
      <c r="G284" t="s">
        <v>32</v>
      </c>
      <c r="H284">
        <v>91</v>
      </c>
      <c r="I284">
        <v>8.1999999999999993</v>
      </c>
      <c r="J284">
        <v>6347</v>
      </c>
      <c r="K284">
        <v>1272.51</v>
      </c>
      <c r="L284">
        <v>201.48</v>
      </c>
      <c r="M284" t="s">
        <v>33</v>
      </c>
      <c r="N284" t="s">
        <v>66</v>
      </c>
      <c r="O284" t="s">
        <v>25</v>
      </c>
      <c r="P284" t="s">
        <v>26</v>
      </c>
      <c r="Q284" t="s">
        <v>152</v>
      </c>
    </row>
    <row r="285" spans="1:17" x14ac:dyDescent="0.3">
      <c r="A285" t="s">
        <v>677</v>
      </c>
      <c r="B285" t="s">
        <v>678</v>
      </c>
      <c r="C285" t="s">
        <v>63</v>
      </c>
      <c r="D285" t="s">
        <v>20</v>
      </c>
      <c r="E285" t="s">
        <v>21</v>
      </c>
      <c r="F285">
        <v>2023</v>
      </c>
      <c r="G285" t="s">
        <v>32</v>
      </c>
      <c r="H285">
        <v>120</v>
      </c>
      <c r="I285">
        <v>6.1</v>
      </c>
      <c r="J285">
        <v>729249</v>
      </c>
      <c r="K285">
        <v>766.52</v>
      </c>
      <c r="L285">
        <v>234.21</v>
      </c>
      <c r="M285" t="s">
        <v>33</v>
      </c>
      <c r="N285" t="s">
        <v>34</v>
      </c>
      <c r="O285" t="s">
        <v>35</v>
      </c>
      <c r="P285" t="s">
        <v>26</v>
      </c>
      <c r="Q285" t="s">
        <v>123</v>
      </c>
    </row>
    <row r="286" spans="1:17" x14ac:dyDescent="0.3">
      <c r="A286" t="s">
        <v>679</v>
      </c>
      <c r="B286" t="s">
        <v>680</v>
      </c>
      <c r="C286" t="s">
        <v>39</v>
      </c>
      <c r="D286" t="s">
        <v>20</v>
      </c>
      <c r="E286" t="s">
        <v>41</v>
      </c>
      <c r="F286">
        <v>2023</v>
      </c>
      <c r="G286" t="s">
        <v>65</v>
      </c>
      <c r="H286">
        <v>130</v>
      </c>
      <c r="I286">
        <v>7.3</v>
      </c>
      <c r="J286">
        <v>911001</v>
      </c>
      <c r="K286">
        <v>773.84</v>
      </c>
      <c r="L286">
        <v>169.53</v>
      </c>
      <c r="M286" t="s">
        <v>23</v>
      </c>
      <c r="N286" t="s">
        <v>24</v>
      </c>
      <c r="O286" t="s">
        <v>127</v>
      </c>
      <c r="P286" t="s">
        <v>26</v>
      </c>
      <c r="Q286" t="s">
        <v>36</v>
      </c>
    </row>
    <row r="287" spans="1:17" x14ac:dyDescent="0.3">
      <c r="A287" t="s">
        <v>681</v>
      </c>
      <c r="B287" t="s">
        <v>682</v>
      </c>
      <c r="C287" t="s">
        <v>19</v>
      </c>
      <c r="D287" t="s">
        <v>20</v>
      </c>
      <c r="E287" t="s">
        <v>88</v>
      </c>
      <c r="F287">
        <v>2023</v>
      </c>
      <c r="G287" t="s">
        <v>126</v>
      </c>
      <c r="H287">
        <v>173</v>
      </c>
      <c r="I287">
        <v>6.4</v>
      </c>
      <c r="J287">
        <v>798530</v>
      </c>
      <c r="K287">
        <v>359.05</v>
      </c>
      <c r="L287">
        <v>89.35</v>
      </c>
      <c r="M287" t="s">
        <v>33</v>
      </c>
      <c r="N287" t="s">
        <v>145</v>
      </c>
      <c r="O287" t="s">
        <v>127</v>
      </c>
      <c r="P287" t="s">
        <v>26</v>
      </c>
      <c r="Q287" t="s">
        <v>68</v>
      </c>
    </row>
    <row r="288" spans="1:17" x14ac:dyDescent="0.3">
      <c r="A288" t="s">
        <v>683</v>
      </c>
      <c r="B288" t="s">
        <v>684</v>
      </c>
      <c r="C288" t="s">
        <v>63</v>
      </c>
      <c r="D288" t="s">
        <v>72</v>
      </c>
      <c r="E288" t="s">
        <v>31</v>
      </c>
      <c r="F288">
        <v>2024</v>
      </c>
      <c r="G288" t="s">
        <v>32</v>
      </c>
      <c r="H288">
        <v>160</v>
      </c>
      <c r="I288">
        <v>7.2</v>
      </c>
      <c r="J288">
        <v>949954</v>
      </c>
      <c r="K288">
        <v>678.42</v>
      </c>
      <c r="L288">
        <v>133.69999999999999</v>
      </c>
      <c r="M288" t="s">
        <v>42</v>
      </c>
      <c r="N288" t="s">
        <v>43</v>
      </c>
      <c r="O288" t="s">
        <v>25</v>
      </c>
      <c r="P288" t="s">
        <v>26</v>
      </c>
      <c r="Q288" t="s">
        <v>123</v>
      </c>
    </row>
    <row r="289" spans="1:17" x14ac:dyDescent="0.3">
      <c r="A289" t="s">
        <v>685</v>
      </c>
      <c r="B289" t="s">
        <v>686</v>
      </c>
      <c r="C289" t="s">
        <v>130</v>
      </c>
      <c r="D289" t="s">
        <v>20</v>
      </c>
      <c r="E289" t="s">
        <v>41</v>
      </c>
      <c r="F289">
        <v>2016</v>
      </c>
      <c r="G289" t="s">
        <v>113</v>
      </c>
      <c r="H289">
        <v>166</v>
      </c>
      <c r="I289">
        <v>7.1</v>
      </c>
      <c r="J289">
        <v>833778</v>
      </c>
      <c r="K289">
        <v>112.87</v>
      </c>
      <c r="L289">
        <v>70.47</v>
      </c>
      <c r="M289" t="s">
        <v>23</v>
      </c>
      <c r="N289" t="s">
        <v>73</v>
      </c>
      <c r="O289" t="s">
        <v>53</v>
      </c>
      <c r="P289" t="s">
        <v>45</v>
      </c>
      <c r="Q289" t="s">
        <v>68</v>
      </c>
    </row>
    <row r="290" spans="1:17" x14ac:dyDescent="0.3">
      <c r="A290" t="s">
        <v>687</v>
      </c>
      <c r="B290" t="s">
        <v>688</v>
      </c>
      <c r="C290" t="s">
        <v>19</v>
      </c>
      <c r="D290" t="s">
        <v>20</v>
      </c>
      <c r="E290" t="s">
        <v>21</v>
      </c>
      <c r="F290">
        <v>2017</v>
      </c>
      <c r="G290" t="s">
        <v>113</v>
      </c>
      <c r="H290">
        <v>156</v>
      </c>
      <c r="I290">
        <v>5.9</v>
      </c>
      <c r="J290">
        <v>881564</v>
      </c>
      <c r="K290">
        <v>288.22000000000003</v>
      </c>
      <c r="L290">
        <v>105.47</v>
      </c>
      <c r="M290" t="s">
        <v>23</v>
      </c>
      <c r="N290" t="s">
        <v>133</v>
      </c>
      <c r="O290" t="s">
        <v>35</v>
      </c>
      <c r="P290" t="s">
        <v>26</v>
      </c>
      <c r="Q290" t="s">
        <v>123</v>
      </c>
    </row>
    <row r="291" spans="1:17" x14ac:dyDescent="0.3">
      <c r="A291" t="s">
        <v>689</v>
      </c>
      <c r="B291" t="s">
        <v>690</v>
      </c>
      <c r="C291" t="s">
        <v>19</v>
      </c>
      <c r="D291" t="s">
        <v>64</v>
      </c>
      <c r="E291" t="s">
        <v>208</v>
      </c>
      <c r="F291">
        <v>2016</v>
      </c>
      <c r="G291" t="s">
        <v>65</v>
      </c>
      <c r="H291">
        <v>144</v>
      </c>
      <c r="J291">
        <v>53897</v>
      </c>
      <c r="K291">
        <v>202.8</v>
      </c>
      <c r="L291">
        <v>43.66</v>
      </c>
      <c r="M291" t="s">
        <v>42</v>
      </c>
      <c r="N291" t="s">
        <v>89</v>
      </c>
      <c r="O291" t="s">
        <v>35</v>
      </c>
      <c r="P291" t="s">
        <v>26</v>
      </c>
      <c r="Q291" t="s">
        <v>123</v>
      </c>
    </row>
    <row r="292" spans="1:17" x14ac:dyDescent="0.3">
      <c r="A292" t="s">
        <v>691</v>
      </c>
      <c r="B292" t="s">
        <v>692</v>
      </c>
      <c r="C292" t="s">
        <v>39</v>
      </c>
      <c r="D292" t="s">
        <v>20</v>
      </c>
      <c r="E292" t="s">
        <v>82</v>
      </c>
      <c r="F292">
        <v>2023</v>
      </c>
      <c r="G292" t="s">
        <v>77</v>
      </c>
      <c r="H292">
        <v>94</v>
      </c>
      <c r="I292">
        <v>5.9</v>
      </c>
      <c r="J292">
        <v>415612</v>
      </c>
      <c r="K292">
        <v>450.09</v>
      </c>
      <c r="L292">
        <v>147.33000000000001</v>
      </c>
      <c r="M292" t="s">
        <v>78</v>
      </c>
      <c r="N292" t="s">
        <v>133</v>
      </c>
      <c r="O292" t="s">
        <v>120</v>
      </c>
      <c r="P292" t="s">
        <v>26</v>
      </c>
      <c r="Q292" t="s">
        <v>68</v>
      </c>
    </row>
    <row r="293" spans="1:17" x14ac:dyDescent="0.3">
      <c r="A293" t="s">
        <v>693</v>
      </c>
      <c r="B293" t="s">
        <v>694</v>
      </c>
      <c r="C293" t="s">
        <v>19</v>
      </c>
      <c r="D293" t="s">
        <v>64</v>
      </c>
      <c r="E293" t="s">
        <v>82</v>
      </c>
      <c r="F293">
        <v>2025</v>
      </c>
      <c r="G293" t="s">
        <v>100</v>
      </c>
      <c r="H293">
        <v>115</v>
      </c>
      <c r="I293">
        <v>7.2</v>
      </c>
      <c r="J293">
        <v>526400</v>
      </c>
      <c r="K293">
        <v>85.59</v>
      </c>
      <c r="L293">
        <v>70.42</v>
      </c>
      <c r="M293" t="s">
        <v>42</v>
      </c>
      <c r="N293" t="s">
        <v>66</v>
      </c>
      <c r="O293" t="s">
        <v>166</v>
      </c>
      <c r="P293" t="s">
        <v>26</v>
      </c>
      <c r="Q293" t="s">
        <v>60</v>
      </c>
    </row>
    <row r="294" spans="1:17" x14ac:dyDescent="0.3">
      <c r="A294" t="s">
        <v>695</v>
      </c>
      <c r="B294" t="s">
        <v>696</v>
      </c>
      <c r="C294" t="s">
        <v>48</v>
      </c>
      <c r="D294" t="s">
        <v>57</v>
      </c>
      <c r="E294" t="s">
        <v>208</v>
      </c>
      <c r="F294">
        <v>2022</v>
      </c>
      <c r="G294" t="s">
        <v>77</v>
      </c>
      <c r="H294">
        <v>140</v>
      </c>
      <c r="I294">
        <v>7.8</v>
      </c>
      <c r="J294">
        <v>624066</v>
      </c>
      <c r="K294">
        <v>105.44</v>
      </c>
      <c r="L294">
        <v>35.76</v>
      </c>
      <c r="M294" t="s">
        <v>58</v>
      </c>
      <c r="N294" t="s">
        <v>89</v>
      </c>
      <c r="O294" t="s">
        <v>136</v>
      </c>
      <c r="P294" t="s">
        <v>26</v>
      </c>
      <c r="Q294" t="s">
        <v>27</v>
      </c>
    </row>
    <row r="295" spans="1:17" x14ac:dyDescent="0.3">
      <c r="A295" t="s">
        <v>697</v>
      </c>
      <c r="B295" t="s">
        <v>698</v>
      </c>
      <c r="C295" t="s">
        <v>39</v>
      </c>
      <c r="D295" t="s">
        <v>20</v>
      </c>
      <c r="E295" t="s">
        <v>92</v>
      </c>
      <c r="F295">
        <v>2017</v>
      </c>
      <c r="G295" t="s">
        <v>100</v>
      </c>
      <c r="H295">
        <v>179</v>
      </c>
      <c r="I295">
        <v>6.6</v>
      </c>
      <c r="J295">
        <v>10951</v>
      </c>
      <c r="K295">
        <v>656.74</v>
      </c>
      <c r="L295">
        <v>125.95</v>
      </c>
      <c r="M295" t="s">
        <v>78</v>
      </c>
      <c r="N295" t="s">
        <v>34</v>
      </c>
      <c r="O295" t="s">
        <v>141</v>
      </c>
      <c r="P295" t="s">
        <v>26</v>
      </c>
      <c r="Q295" t="s">
        <v>27</v>
      </c>
    </row>
    <row r="296" spans="1:17" x14ac:dyDescent="0.3">
      <c r="A296" t="s">
        <v>699</v>
      </c>
      <c r="B296" t="s">
        <v>700</v>
      </c>
      <c r="C296" t="s">
        <v>39</v>
      </c>
      <c r="D296" t="s">
        <v>81</v>
      </c>
      <c r="E296" t="s">
        <v>82</v>
      </c>
      <c r="F296">
        <v>2015</v>
      </c>
      <c r="G296" t="s">
        <v>96</v>
      </c>
      <c r="H296">
        <v>103</v>
      </c>
      <c r="I296">
        <v>7.6</v>
      </c>
      <c r="J296">
        <v>887750</v>
      </c>
      <c r="K296">
        <v>497.28</v>
      </c>
      <c r="L296">
        <v>187.06</v>
      </c>
      <c r="M296" t="s">
        <v>42</v>
      </c>
      <c r="N296" t="s">
        <v>34</v>
      </c>
      <c r="O296" t="s">
        <v>120</v>
      </c>
      <c r="P296" t="s">
        <v>45</v>
      </c>
      <c r="Q296" t="s">
        <v>68</v>
      </c>
    </row>
    <row r="297" spans="1:17" x14ac:dyDescent="0.3">
      <c r="A297" t="s">
        <v>701</v>
      </c>
      <c r="B297" t="s">
        <v>702</v>
      </c>
      <c r="C297" t="s">
        <v>130</v>
      </c>
      <c r="D297" t="s">
        <v>72</v>
      </c>
      <c r="E297" t="s">
        <v>41</v>
      </c>
      <c r="F297">
        <v>2017</v>
      </c>
      <c r="G297" t="s">
        <v>113</v>
      </c>
      <c r="H297">
        <v>156</v>
      </c>
      <c r="I297">
        <v>6.9</v>
      </c>
      <c r="J297">
        <v>361349</v>
      </c>
      <c r="K297">
        <v>147.19999999999999</v>
      </c>
      <c r="L297">
        <v>38.69</v>
      </c>
      <c r="M297" t="s">
        <v>42</v>
      </c>
      <c r="N297" t="s">
        <v>101</v>
      </c>
      <c r="O297" t="s">
        <v>245</v>
      </c>
      <c r="P297" t="s">
        <v>26</v>
      </c>
      <c r="Q297" t="s">
        <v>152</v>
      </c>
    </row>
    <row r="298" spans="1:17" x14ac:dyDescent="0.3">
      <c r="A298" t="s">
        <v>703</v>
      </c>
      <c r="B298" t="s">
        <v>704</v>
      </c>
      <c r="C298" t="s">
        <v>144</v>
      </c>
      <c r="D298" t="s">
        <v>171</v>
      </c>
      <c r="E298" t="s">
        <v>88</v>
      </c>
      <c r="F298">
        <v>2015</v>
      </c>
      <c r="G298" t="s">
        <v>108</v>
      </c>
      <c r="H298">
        <v>146</v>
      </c>
      <c r="I298">
        <v>8.5</v>
      </c>
      <c r="J298">
        <v>179594</v>
      </c>
      <c r="K298">
        <v>743.47</v>
      </c>
      <c r="L298">
        <v>132.01</v>
      </c>
      <c r="M298" t="s">
        <v>172</v>
      </c>
      <c r="N298" t="s">
        <v>133</v>
      </c>
      <c r="O298" t="s">
        <v>141</v>
      </c>
      <c r="P298" t="s">
        <v>26</v>
      </c>
      <c r="Q298" t="s">
        <v>60</v>
      </c>
    </row>
    <row r="299" spans="1:17" x14ac:dyDescent="0.3">
      <c r="A299" t="s">
        <v>705</v>
      </c>
      <c r="B299" t="s">
        <v>706</v>
      </c>
      <c r="C299" t="s">
        <v>39</v>
      </c>
      <c r="D299" t="s">
        <v>64</v>
      </c>
      <c r="E299" t="s">
        <v>41</v>
      </c>
      <c r="F299">
        <v>2018</v>
      </c>
      <c r="G299" t="s">
        <v>108</v>
      </c>
      <c r="H299">
        <v>178</v>
      </c>
      <c r="I299">
        <v>6.2</v>
      </c>
      <c r="J299">
        <v>899601</v>
      </c>
      <c r="K299">
        <v>290.26</v>
      </c>
      <c r="L299">
        <v>74.17</v>
      </c>
      <c r="M299" t="s">
        <v>42</v>
      </c>
      <c r="N299" t="s">
        <v>109</v>
      </c>
      <c r="O299" t="s">
        <v>74</v>
      </c>
      <c r="P299" t="s">
        <v>45</v>
      </c>
      <c r="Q299" t="s">
        <v>152</v>
      </c>
    </row>
    <row r="300" spans="1:17" x14ac:dyDescent="0.3">
      <c r="A300" t="s">
        <v>707</v>
      </c>
      <c r="B300" t="s">
        <v>708</v>
      </c>
      <c r="C300" t="s">
        <v>39</v>
      </c>
      <c r="D300" t="s">
        <v>211</v>
      </c>
      <c r="E300" t="s">
        <v>41</v>
      </c>
      <c r="F300">
        <v>2017</v>
      </c>
      <c r="G300" t="s">
        <v>65</v>
      </c>
      <c r="H300">
        <v>145</v>
      </c>
      <c r="I300">
        <v>7.4</v>
      </c>
      <c r="J300">
        <v>403033</v>
      </c>
      <c r="K300">
        <v>56.1</v>
      </c>
      <c r="L300">
        <v>15.34</v>
      </c>
      <c r="M300" t="s">
        <v>212</v>
      </c>
      <c r="N300" t="s">
        <v>24</v>
      </c>
      <c r="O300" t="s">
        <v>59</v>
      </c>
      <c r="P300" t="s">
        <v>45</v>
      </c>
      <c r="Q300" t="s">
        <v>54</v>
      </c>
    </row>
    <row r="301" spans="1:17" x14ac:dyDescent="0.3">
      <c r="A301" t="s">
        <v>709</v>
      </c>
      <c r="B301" t="s">
        <v>710</v>
      </c>
      <c r="C301" t="s">
        <v>39</v>
      </c>
      <c r="D301" t="s">
        <v>64</v>
      </c>
      <c r="E301" t="s">
        <v>41</v>
      </c>
      <c r="F301">
        <v>2016</v>
      </c>
      <c r="G301" t="s">
        <v>22</v>
      </c>
      <c r="H301">
        <v>93</v>
      </c>
      <c r="I301">
        <v>8</v>
      </c>
      <c r="J301">
        <v>353418</v>
      </c>
      <c r="K301">
        <v>1258.28</v>
      </c>
      <c r="L301">
        <v>247.11</v>
      </c>
      <c r="M301" t="s">
        <v>42</v>
      </c>
      <c r="N301" t="s">
        <v>140</v>
      </c>
      <c r="O301" t="s">
        <v>245</v>
      </c>
      <c r="P301" t="s">
        <v>26</v>
      </c>
      <c r="Q301" t="s">
        <v>36</v>
      </c>
    </row>
    <row r="302" spans="1:17" x14ac:dyDescent="0.3">
      <c r="A302" t="s">
        <v>711</v>
      </c>
      <c r="B302" t="s">
        <v>712</v>
      </c>
      <c r="C302" t="s">
        <v>144</v>
      </c>
      <c r="D302" t="s">
        <v>20</v>
      </c>
      <c r="E302" t="s">
        <v>192</v>
      </c>
      <c r="F302">
        <v>2024</v>
      </c>
      <c r="G302" t="s">
        <v>155</v>
      </c>
      <c r="H302">
        <v>156</v>
      </c>
      <c r="I302">
        <v>7.2</v>
      </c>
      <c r="J302">
        <v>860759</v>
      </c>
      <c r="K302">
        <v>233.06</v>
      </c>
      <c r="L302">
        <v>206.66</v>
      </c>
      <c r="M302" t="s">
        <v>23</v>
      </c>
      <c r="N302" t="s">
        <v>73</v>
      </c>
      <c r="O302" t="s">
        <v>74</v>
      </c>
      <c r="P302" t="s">
        <v>26</v>
      </c>
      <c r="Q302" t="s">
        <v>36</v>
      </c>
    </row>
    <row r="303" spans="1:17" x14ac:dyDescent="0.3">
      <c r="A303" t="s">
        <v>713</v>
      </c>
      <c r="B303" t="s">
        <v>714</v>
      </c>
      <c r="C303" t="s">
        <v>144</v>
      </c>
      <c r="D303" t="s">
        <v>20</v>
      </c>
      <c r="E303" t="s">
        <v>82</v>
      </c>
      <c r="F303">
        <v>2016</v>
      </c>
      <c r="G303" t="s">
        <v>100</v>
      </c>
      <c r="H303">
        <v>164</v>
      </c>
      <c r="I303">
        <v>6.8</v>
      </c>
      <c r="J303">
        <v>163616</v>
      </c>
      <c r="K303">
        <v>161.32</v>
      </c>
      <c r="L303">
        <v>22.91</v>
      </c>
      <c r="M303" t="s">
        <v>33</v>
      </c>
      <c r="N303" t="s">
        <v>140</v>
      </c>
      <c r="O303" t="s">
        <v>141</v>
      </c>
      <c r="P303" t="s">
        <v>26</v>
      </c>
      <c r="Q303" t="s">
        <v>123</v>
      </c>
    </row>
    <row r="304" spans="1:17" x14ac:dyDescent="0.3">
      <c r="A304" t="s">
        <v>715</v>
      </c>
      <c r="B304" t="s">
        <v>716</v>
      </c>
      <c r="C304" t="s">
        <v>39</v>
      </c>
      <c r="D304" t="s">
        <v>40</v>
      </c>
      <c r="E304" t="s">
        <v>192</v>
      </c>
      <c r="F304">
        <v>2017</v>
      </c>
      <c r="G304" t="s">
        <v>22</v>
      </c>
      <c r="H304">
        <v>93</v>
      </c>
      <c r="I304">
        <v>7.9</v>
      </c>
      <c r="J304">
        <v>516407</v>
      </c>
      <c r="K304">
        <v>525.17999999999995</v>
      </c>
      <c r="L304">
        <v>244.9</v>
      </c>
      <c r="M304" t="s">
        <v>42</v>
      </c>
      <c r="N304" t="s">
        <v>133</v>
      </c>
      <c r="O304" t="s">
        <v>67</v>
      </c>
      <c r="P304" t="s">
        <v>26</v>
      </c>
      <c r="Q304" t="s">
        <v>36</v>
      </c>
    </row>
    <row r="305" spans="1:17" x14ac:dyDescent="0.3">
      <c r="A305" t="s">
        <v>717</v>
      </c>
      <c r="B305" t="s">
        <v>718</v>
      </c>
      <c r="C305" t="s">
        <v>30</v>
      </c>
      <c r="D305" t="s">
        <v>57</v>
      </c>
      <c r="E305" t="s">
        <v>88</v>
      </c>
      <c r="F305">
        <v>2021</v>
      </c>
      <c r="G305" t="s">
        <v>50</v>
      </c>
      <c r="H305">
        <v>121</v>
      </c>
      <c r="I305">
        <v>6.1</v>
      </c>
      <c r="J305">
        <v>162421</v>
      </c>
      <c r="K305">
        <v>130.47</v>
      </c>
      <c r="L305">
        <v>31.91</v>
      </c>
      <c r="M305" t="s">
        <v>58</v>
      </c>
      <c r="N305" t="s">
        <v>24</v>
      </c>
      <c r="O305" t="s">
        <v>245</v>
      </c>
      <c r="P305" t="s">
        <v>45</v>
      </c>
      <c r="Q305" t="s">
        <v>36</v>
      </c>
    </row>
    <row r="306" spans="1:17" x14ac:dyDescent="0.3">
      <c r="A306" t="s">
        <v>719</v>
      </c>
      <c r="B306" t="s">
        <v>720</v>
      </c>
      <c r="C306" t="s">
        <v>19</v>
      </c>
      <c r="D306" t="s">
        <v>215</v>
      </c>
      <c r="E306" t="s">
        <v>31</v>
      </c>
      <c r="F306">
        <v>2020</v>
      </c>
      <c r="G306" t="s">
        <v>155</v>
      </c>
      <c r="H306">
        <v>158</v>
      </c>
      <c r="I306">
        <v>7.4</v>
      </c>
      <c r="J306">
        <v>462799</v>
      </c>
      <c r="L306">
        <v>116.5</v>
      </c>
      <c r="M306" t="s">
        <v>484</v>
      </c>
      <c r="N306" t="s">
        <v>101</v>
      </c>
      <c r="O306" t="s">
        <v>97</v>
      </c>
      <c r="P306" t="s">
        <v>26</v>
      </c>
      <c r="Q306" t="s">
        <v>36</v>
      </c>
    </row>
    <row r="307" spans="1:17" x14ac:dyDescent="0.3">
      <c r="A307" t="s">
        <v>721</v>
      </c>
      <c r="B307" t="s">
        <v>722</v>
      </c>
      <c r="C307" t="s">
        <v>19</v>
      </c>
      <c r="D307" t="s">
        <v>20</v>
      </c>
      <c r="E307" t="s">
        <v>82</v>
      </c>
      <c r="F307">
        <v>2020</v>
      </c>
      <c r="G307" t="s">
        <v>113</v>
      </c>
      <c r="H307">
        <v>124</v>
      </c>
      <c r="I307">
        <v>8</v>
      </c>
      <c r="J307">
        <v>479164</v>
      </c>
      <c r="K307">
        <v>383.12</v>
      </c>
      <c r="L307">
        <v>61.56</v>
      </c>
      <c r="M307" t="s">
        <v>23</v>
      </c>
      <c r="N307" t="s">
        <v>101</v>
      </c>
      <c r="O307" t="s">
        <v>25</v>
      </c>
      <c r="P307" t="s">
        <v>26</v>
      </c>
      <c r="Q307" t="s">
        <v>152</v>
      </c>
    </row>
    <row r="308" spans="1:17" x14ac:dyDescent="0.3">
      <c r="A308" t="s">
        <v>723</v>
      </c>
      <c r="B308" t="s">
        <v>724</v>
      </c>
      <c r="C308" t="s">
        <v>39</v>
      </c>
      <c r="D308" t="s">
        <v>64</v>
      </c>
      <c r="E308" t="s">
        <v>82</v>
      </c>
      <c r="F308">
        <v>2015</v>
      </c>
      <c r="G308" t="s">
        <v>65</v>
      </c>
      <c r="H308">
        <v>173</v>
      </c>
      <c r="I308">
        <v>7.8</v>
      </c>
      <c r="J308">
        <v>130398</v>
      </c>
      <c r="K308">
        <v>547.95000000000005</v>
      </c>
      <c r="L308">
        <v>137.72999999999999</v>
      </c>
      <c r="M308" t="s">
        <v>42</v>
      </c>
      <c r="N308" t="s">
        <v>179</v>
      </c>
      <c r="O308" t="s">
        <v>35</v>
      </c>
      <c r="P308" t="s">
        <v>26</v>
      </c>
      <c r="Q308" t="s">
        <v>27</v>
      </c>
    </row>
    <row r="309" spans="1:17" x14ac:dyDescent="0.3">
      <c r="A309" t="s">
        <v>725</v>
      </c>
      <c r="B309" t="s">
        <v>726</v>
      </c>
      <c r="C309" t="s">
        <v>63</v>
      </c>
      <c r="D309" t="s">
        <v>20</v>
      </c>
      <c r="E309" t="s">
        <v>31</v>
      </c>
      <c r="F309">
        <v>2024</v>
      </c>
      <c r="G309" t="s">
        <v>65</v>
      </c>
      <c r="H309">
        <v>173</v>
      </c>
      <c r="I309">
        <v>6.8</v>
      </c>
      <c r="J309">
        <v>871006</v>
      </c>
      <c r="K309">
        <v>228.09</v>
      </c>
      <c r="L309">
        <v>162.22999999999999</v>
      </c>
      <c r="M309" t="s">
        <v>51</v>
      </c>
      <c r="N309" t="s">
        <v>133</v>
      </c>
      <c r="O309" t="s">
        <v>127</v>
      </c>
      <c r="P309" t="s">
        <v>26</v>
      </c>
      <c r="Q309" t="s">
        <v>27</v>
      </c>
    </row>
    <row r="310" spans="1:17" x14ac:dyDescent="0.3">
      <c r="A310" t="s">
        <v>727</v>
      </c>
      <c r="B310" t="s">
        <v>728</v>
      </c>
      <c r="C310" t="s">
        <v>71</v>
      </c>
      <c r="D310" t="s">
        <v>64</v>
      </c>
      <c r="E310" t="s">
        <v>82</v>
      </c>
      <c r="F310">
        <v>2025</v>
      </c>
      <c r="G310" t="s">
        <v>22</v>
      </c>
      <c r="H310">
        <v>171</v>
      </c>
      <c r="I310">
        <v>8.6</v>
      </c>
      <c r="J310">
        <v>395459</v>
      </c>
      <c r="K310">
        <v>662.73</v>
      </c>
      <c r="L310">
        <v>207.21</v>
      </c>
      <c r="M310" t="s">
        <v>42</v>
      </c>
      <c r="N310" t="s">
        <v>119</v>
      </c>
      <c r="O310" t="s">
        <v>35</v>
      </c>
      <c r="P310" t="s">
        <v>26</v>
      </c>
      <c r="Q310" t="s">
        <v>27</v>
      </c>
    </row>
    <row r="311" spans="1:17" x14ac:dyDescent="0.3">
      <c r="A311" t="s">
        <v>729</v>
      </c>
      <c r="B311" t="s">
        <v>730</v>
      </c>
      <c r="C311" t="s">
        <v>86</v>
      </c>
      <c r="D311" t="s">
        <v>72</v>
      </c>
      <c r="E311" t="s">
        <v>82</v>
      </c>
      <c r="F311">
        <v>2021</v>
      </c>
      <c r="G311" t="s">
        <v>93</v>
      </c>
      <c r="H311">
        <v>90</v>
      </c>
      <c r="I311">
        <v>6.6</v>
      </c>
      <c r="J311">
        <v>835594</v>
      </c>
      <c r="K311">
        <v>259.45999999999998</v>
      </c>
      <c r="L311">
        <v>243.1</v>
      </c>
      <c r="M311" t="s">
        <v>42</v>
      </c>
      <c r="N311" t="s">
        <v>179</v>
      </c>
      <c r="O311" t="s">
        <v>141</v>
      </c>
      <c r="P311" t="s">
        <v>26</v>
      </c>
      <c r="Q311" t="s">
        <v>54</v>
      </c>
    </row>
    <row r="312" spans="1:17" x14ac:dyDescent="0.3">
      <c r="A312" t="s">
        <v>731</v>
      </c>
      <c r="B312" t="s">
        <v>732</v>
      </c>
      <c r="C312" t="s">
        <v>19</v>
      </c>
      <c r="D312" t="s">
        <v>20</v>
      </c>
      <c r="E312" t="s">
        <v>41</v>
      </c>
      <c r="F312">
        <v>2023</v>
      </c>
      <c r="G312" t="s">
        <v>32</v>
      </c>
      <c r="H312">
        <v>163</v>
      </c>
      <c r="I312">
        <v>8.5</v>
      </c>
      <c r="J312">
        <v>826020</v>
      </c>
      <c r="K312">
        <v>475.89</v>
      </c>
      <c r="L312">
        <v>90.49</v>
      </c>
      <c r="M312" t="s">
        <v>23</v>
      </c>
      <c r="N312" t="s">
        <v>109</v>
      </c>
      <c r="O312" t="s">
        <v>245</v>
      </c>
      <c r="P312" t="s">
        <v>26</v>
      </c>
      <c r="Q312" t="s">
        <v>36</v>
      </c>
    </row>
    <row r="313" spans="1:17" x14ac:dyDescent="0.3">
      <c r="A313" t="s">
        <v>733</v>
      </c>
      <c r="B313" t="s">
        <v>734</v>
      </c>
      <c r="C313" t="s">
        <v>39</v>
      </c>
      <c r="D313" t="s">
        <v>64</v>
      </c>
      <c r="E313" t="s">
        <v>139</v>
      </c>
      <c r="F313">
        <v>2016</v>
      </c>
      <c r="G313" t="s">
        <v>50</v>
      </c>
      <c r="H313">
        <v>102</v>
      </c>
      <c r="I313">
        <v>7.2</v>
      </c>
      <c r="J313">
        <v>901582</v>
      </c>
      <c r="K313">
        <v>109.59</v>
      </c>
      <c r="L313">
        <v>22.79</v>
      </c>
      <c r="M313" t="s">
        <v>42</v>
      </c>
      <c r="N313" t="s">
        <v>140</v>
      </c>
      <c r="O313" t="s">
        <v>151</v>
      </c>
      <c r="P313" t="s">
        <v>26</v>
      </c>
      <c r="Q313" t="s">
        <v>123</v>
      </c>
    </row>
    <row r="314" spans="1:17" x14ac:dyDescent="0.3">
      <c r="A314" t="s">
        <v>735</v>
      </c>
      <c r="B314" t="s">
        <v>736</v>
      </c>
      <c r="C314" t="s">
        <v>39</v>
      </c>
      <c r="D314" t="s">
        <v>40</v>
      </c>
      <c r="E314" t="s">
        <v>88</v>
      </c>
      <c r="F314">
        <v>2023</v>
      </c>
      <c r="G314" t="s">
        <v>22</v>
      </c>
      <c r="H314">
        <v>108</v>
      </c>
      <c r="I314">
        <v>8.1999999999999993</v>
      </c>
      <c r="J314">
        <v>933366</v>
      </c>
      <c r="K314">
        <v>695.91</v>
      </c>
      <c r="L314">
        <v>136.44999999999999</v>
      </c>
      <c r="M314" t="s">
        <v>42</v>
      </c>
      <c r="N314" t="s">
        <v>101</v>
      </c>
      <c r="O314" t="s">
        <v>53</v>
      </c>
      <c r="P314" t="s">
        <v>26</v>
      </c>
      <c r="Q314" t="s">
        <v>68</v>
      </c>
    </row>
    <row r="315" spans="1:17" x14ac:dyDescent="0.3">
      <c r="A315" t="s">
        <v>737</v>
      </c>
      <c r="B315" t="s">
        <v>738</v>
      </c>
      <c r="C315" t="s">
        <v>71</v>
      </c>
      <c r="D315" t="s">
        <v>87</v>
      </c>
      <c r="E315" t="s">
        <v>82</v>
      </c>
      <c r="F315">
        <v>2016</v>
      </c>
      <c r="G315" t="s">
        <v>108</v>
      </c>
      <c r="H315">
        <v>101</v>
      </c>
      <c r="I315">
        <v>7.1</v>
      </c>
      <c r="J315">
        <v>783009</v>
      </c>
      <c r="K315">
        <v>46.04</v>
      </c>
      <c r="L315">
        <v>18.13</v>
      </c>
      <c r="M315" t="s">
        <v>42</v>
      </c>
      <c r="N315" t="s">
        <v>66</v>
      </c>
      <c r="O315" t="s">
        <v>97</v>
      </c>
      <c r="P315" t="s">
        <v>26</v>
      </c>
      <c r="Q315" t="s">
        <v>36</v>
      </c>
    </row>
    <row r="316" spans="1:17" x14ac:dyDescent="0.3">
      <c r="A316" t="s">
        <v>739</v>
      </c>
      <c r="B316" t="s">
        <v>740</v>
      </c>
      <c r="C316" t="s">
        <v>144</v>
      </c>
      <c r="D316" t="s">
        <v>20</v>
      </c>
      <c r="E316" t="s">
        <v>41</v>
      </c>
      <c r="F316">
        <v>2016</v>
      </c>
      <c r="G316" t="s">
        <v>96</v>
      </c>
      <c r="H316">
        <v>178</v>
      </c>
      <c r="I316">
        <v>7.6</v>
      </c>
      <c r="J316">
        <v>478250</v>
      </c>
      <c r="K316">
        <v>843.27</v>
      </c>
      <c r="L316">
        <v>196.5</v>
      </c>
      <c r="M316" t="s">
        <v>78</v>
      </c>
      <c r="N316" t="s">
        <v>89</v>
      </c>
      <c r="O316" t="s">
        <v>199</v>
      </c>
      <c r="P316" t="s">
        <v>26</v>
      </c>
      <c r="Q316" t="s">
        <v>123</v>
      </c>
    </row>
    <row r="317" spans="1:17" x14ac:dyDescent="0.3">
      <c r="A317" t="s">
        <v>741</v>
      </c>
      <c r="B317" t="s">
        <v>742</v>
      </c>
      <c r="C317" t="s">
        <v>39</v>
      </c>
      <c r="D317" t="s">
        <v>20</v>
      </c>
      <c r="E317" t="s">
        <v>49</v>
      </c>
      <c r="F317">
        <v>2017</v>
      </c>
      <c r="G317" t="s">
        <v>100</v>
      </c>
      <c r="H317">
        <v>86</v>
      </c>
      <c r="I317">
        <v>8.6</v>
      </c>
      <c r="J317">
        <v>889936</v>
      </c>
      <c r="K317">
        <v>97.42</v>
      </c>
      <c r="L317">
        <v>35.799999999999997</v>
      </c>
      <c r="M317" t="s">
        <v>51</v>
      </c>
      <c r="N317" t="s">
        <v>24</v>
      </c>
      <c r="O317" t="s">
        <v>67</v>
      </c>
      <c r="P317" t="s">
        <v>26</v>
      </c>
      <c r="Q317" t="s">
        <v>54</v>
      </c>
    </row>
    <row r="318" spans="1:17" x14ac:dyDescent="0.3">
      <c r="A318" t="s">
        <v>743</v>
      </c>
      <c r="B318" t="s">
        <v>744</v>
      </c>
      <c r="C318" t="s">
        <v>39</v>
      </c>
      <c r="D318" t="s">
        <v>20</v>
      </c>
      <c r="E318" t="s">
        <v>41</v>
      </c>
      <c r="F318">
        <v>2020</v>
      </c>
      <c r="G318" t="s">
        <v>96</v>
      </c>
      <c r="H318">
        <v>189</v>
      </c>
      <c r="I318">
        <v>7.7</v>
      </c>
      <c r="J318">
        <v>326298</v>
      </c>
      <c r="K318">
        <v>123.16</v>
      </c>
      <c r="L318">
        <v>57.71</v>
      </c>
      <c r="M318" t="s">
        <v>51</v>
      </c>
      <c r="N318" t="s">
        <v>73</v>
      </c>
      <c r="O318" t="s">
        <v>141</v>
      </c>
      <c r="P318" t="s">
        <v>26</v>
      </c>
      <c r="Q318" t="s">
        <v>60</v>
      </c>
    </row>
    <row r="319" spans="1:17" x14ac:dyDescent="0.3">
      <c r="A319" t="s">
        <v>745</v>
      </c>
      <c r="B319" t="s">
        <v>746</v>
      </c>
      <c r="C319" t="s">
        <v>19</v>
      </c>
      <c r="D319" t="s">
        <v>87</v>
      </c>
      <c r="E319" t="s">
        <v>41</v>
      </c>
      <c r="F319">
        <v>2021</v>
      </c>
      <c r="G319" t="s">
        <v>65</v>
      </c>
      <c r="H319">
        <v>127</v>
      </c>
      <c r="I319">
        <v>7.2</v>
      </c>
      <c r="J319">
        <v>9056</v>
      </c>
      <c r="K319">
        <v>177.92</v>
      </c>
      <c r="L319">
        <v>27.46</v>
      </c>
      <c r="M319" t="s">
        <v>42</v>
      </c>
      <c r="N319" t="s">
        <v>109</v>
      </c>
      <c r="O319" t="s">
        <v>67</v>
      </c>
      <c r="P319" t="s">
        <v>45</v>
      </c>
      <c r="Q319" t="s">
        <v>60</v>
      </c>
    </row>
    <row r="320" spans="1:17" x14ac:dyDescent="0.3">
      <c r="A320" t="s">
        <v>747</v>
      </c>
      <c r="B320" t="s">
        <v>748</v>
      </c>
      <c r="C320" t="s">
        <v>71</v>
      </c>
      <c r="D320" t="s">
        <v>72</v>
      </c>
      <c r="E320" t="s">
        <v>88</v>
      </c>
      <c r="F320">
        <v>2015</v>
      </c>
      <c r="G320" t="s">
        <v>126</v>
      </c>
      <c r="H320">
        <v>115</v>
      </c>
      <c r="I320">
        <v>8</v>
      </c>
      <c r="J320">
        <v>202024</v>
      </c>
      <c r="K320">
        <v>135.53</v>
      </c>
      <c r="L320">
        <v>31.14</v>
      </c>
      <c r="M320" t="s">
        <v>42</v>
      </c>
      <c r="N320" t="s">
        <v>83</v>
      </c>
      <c r="O320" t="s">
        <v>74</v>
      </c>
      <c r="P320" t="s">
        <v>45</v>
      </c>
      <c r="Q320" t="s">
        <v>60</v>
      </c>
    </row>
    <row r="321" spans="1:17" x14ac:dyDescent="0.3">
      <c r="A321" t="s">
        <v>749</v>
      </c>
      <c r="B321" t="s">
        <v>750</v>
      </c>
      <c r="C321" t="s">
        <v>86</v>
      </c>
      <c r="D321" t="s">
        <v>87</v>
      </c>
      <c r="E321" t="s">
        <v>49</v>
      </c>
      <c r="F321">
        <v>2016</v>
      </c>
      <c r="G321" t="s">
        <v>108</v>
      </c>
      <c r="H321">
        <v>180</v>
      </c>
      <c r="I321">
        <v>8.1999999999999993</v>
      </c>
      <c r="J321">
        <v>380132</v>
      </c>
      <c r="K321">
        <v>670.5</v>
      </c>
      <c r="L321">
        <v>146.1</v>
      </c>
      <c r="M321" t="s">
        <v>42</v>
      </c>
      <c r="N321" t="s">
        <v>145</v>
      </c>
      <c r="O321" t="s">
        <v>67</v>
      </c>
      <c r="P321" t="s">
        <v>26</v>
      </c>
      <c r="Q321" t="s">
        <v>54</v>
      </c>
    </row>
    <row r="322" spans="1:17" x14ac:dyDescent="0.3">
      <c r="A322" t="s">
        <v>751</v>
      </c>
      <c r="B322" t="s">
        <v>752</v>
      </c>
      <c r="C322" t="s">
        <v>86</v>
      </c>
      <c r="D322" t="s">
        <v>81</v>
      </c>
      <c r="E322" t="s">
        <v>31</v>
      </c>
      <c r="F322">
        <v>2025</v>
      </c>
      <c r="G322" t="s">
        <v>96</v>
      </c>
      <c r="H322">
        <v>166</v>
      </c>
      <c r="I322">
        <v>7.9</v>
      </c>
      <c r="J322">
        <v>317669</v>
      </c>
      <c r="K322">
        <v>257.83999999999997</v>
      </c>
      <c r="L322">
        <v>163.01</v>
      </c>
      <c r="M322" t="s">
        <v>42</v>
      </c>
      <c r="N322" t="s">
        <v>73</v>
      </c>
      <c r="O322" t="s">
        <v>245</v>
      </c>
      <c r="P322" t="s">
        <v>26</v>
      </c>
      <c r="Q322" t="s">
        <v>152</v>
      </c>
    </row>
    <row r="323" spans="1:17" x14ac:dyDescent="0.3">
      <c r="A323" t="s">
        <v>753</v>
      </c>
      <c r="B323" t="s">
        <v>754</v>
      </c>
      <c r="C323" t="s">
        <v>48</v>
      </c>
      <c r="D323" t="s">
        <v>57</v>
      </c>
      <c r="E323" t="s">
        <v>41</v>
      </c>
      <c r="F323">
        <v>2019</v>
      </c>
      <c r="G323" t="s">
        <v>113</v>
      </c>
      <c r="H323">
        <v>170</v>
      </c>
      <c r="I323">
        <v>7.8</v>
      </c>
      <c r="J323">
        <v>751781</v>
      </c>
      <c r="K323">
        <v>206.16</v>
      </c>
      <c r="L323">
        <v>79.92</v>
      </c>
      <c r="M323" t="s">
        <v>58</v>
      </c>
      <c r="N323" t="s">
        <v>145</v>
      </c>
      <c r="O323" t="s">
        <v>245</v>
      </c>
      <c r="P323" t="s">
        <v>26</v>
      </c>
      <c r="Q323" t="s">
        <v>54</v>
      </c>
    </row>
    <row r="324" spans="1:17" x14ac:dyDescent="0.3">
      <c r="A324" t="s">
        <v>755</v>
      </c>
      <c r="B324" t="s">
        <v>756</v>
      </c>
      <c r="C324" t="s">
        <v>112</v>
      </c>
      <c r="D324" t="s">
        <v>20</v>
      </c>
      <c r="E324" t="s">
        <v>31</v>
      </c>
      <c r="F324">
        <v>2016</v>
      </c>
      <c r="G324" t="s">
        <v>77</v>
      </c>
      <c r="H324">
        <v>162</v>
      </c>
      <c r="I324">
        <v>6.9</v>
      </c>
      <c r="J324">
        <v>313253</v>
      </c>
      <c r="K324">
        <v>1483.36</v>
      </c>
      <c r="L324">
        <v>217.06</v>
      </c>
      <c r="M324" t="s">
        <v>33</v>
      </c>
      <c r="N324" t="s">
        <v>66</v>
      </c>
      <c r="O324" t="s">
        <v>74</v>
      </c>
      <c r="P324" t="s">
        <v>26</v>
      </c>
      <c r="Q324" t="s">
        <v>27</v>
      </c>
    </row>
    <row r="325" spans="1:17" x14ac:dyDescent="0.3">
      <c r="A325" t="s">
        <v>757</v>
      </c>
      <c r="B325" t="s">
        <v>758</v>
      </c>
      <c r="C325" t="s">
        <v>144</v>
      </c>
      <c r="D325" t="s">
        <v>20</v>
      </c>
      <c r="E325" t="s">
        <v>88</v>
      </c>
      <c r="F325">
        <v>2015</v>
      </c>
      <c r="G325" t="s">
        <v>93</v>
      </c>
      <c r="H325">
        <v>141</v>
      </c>
      <c r="I325">
        <v>7.1</v>
      </c>
      <c r="J325">
        <v>245947</v>
      </c>
      <c r="K325">
        <v>88.8</v>
      </c>
      <c r="L325">
        <v>67.87</v>
      </c>
      <c r="M325" t="s">
        <v>51</v>
      </c>
      <c r="N325" t="s">
        <v>140</v>
      </c>
      <c r="O325" t="s">
        <v>97</v>
      </c>
      <c r="P325" t="s">
        <v>45</v>
      </c>
      <c r="Q325" t="s">
        <v>60</v>
      </c>
    </row>
    <row r="326" spans="1:17" x14ac:dyDescent="0.3">
      <c r="A326" t="s">
        <v>759</v>
      </c>
      <c r="B326" t="s">
        <v>760</v>
      </c>
      <c r="C326" t="s">
        <v>130</v>
      </c>
      <c r="D326" t="s">
        <v>40</v>
      </c>
      <c r="E326" t="s">
        <v>49</v>
      </c>
      <c r="F326">
        <v>2022</v>
      </c>
      <c r="G326" t="s">
        <v>126</v>
      </c>
      <c r="H326">
        <v>135</v>
      </c>
      <c r="I326">
        <v>6.3</v>
      </c>
      <c r="J326">
        <v>667075</v>
      </c>
      <c r="K326">
        <v>1238.6199999999999</v>
      </c>
      <c r="L326">
        <v>230.92</v>
      </c>
      <c r="M326" t="s">
        <v>42</v>
      </c>
      <c r="N326" t="s">
        <v>34</v>
      </c>
      <c r="O326" t="s">
        <v>67</v>
      </c>
      <c r="P326" t="s">
        <v>45</v>
      </c>
      <c r="Q326" t="s">
        <v>27</v>
      </c>
    </row>
    <row r="327" spans="1:17" x14ac:dyDescent="0.3">
      <c r="A327" t="s">
        <v>761</v>
      </c>
      <c r="B327" t="s">
        <v>762</v>
      </c>
      <c r="C327" t="s">
        <v>116</v>
      </c>
      <c r="D327" t="s">
        <v>64</v>
      </c>
      <c r="E327" t="s">
        <v>41</v>
      </c>
      <c r="F327">
        <v>2023</v>
      </c>
      <c r="G327" t="s">
        <v>77</v>
      </c>
      <c r="H327">
        <v>144</v>
      </c>
      <c r="I327">
        <v>6.7</v>
      </c>
      <c r="J327">
        <v>749101</v>
      </c>
      <c r="K327">
        <v>166.64</v>
      </c>
      <c r="L327">
        <v>40.46</v>
      </c>
      <c r="M327" t="s">
        <v>42</v>
      </c>
      <c r="N327" t="s">
        <v>140</v>
      </c>
      <c r="O327" t="s">
        <v>59</v>
      </c>
      <c r="P327" t="s">
        <v>26</v>
      </c>
      <c r="Q327" t="s">
        <v>152</v>
      </c>
    </row>
    <row r="328" spans="1:17" x14ac:dyDescent="0.3">
      <c r="A328" t="s">
        <v>763</v>
      </c>
      <c r="B328" t="s">
        <v>764</v>
      </c>
      <c r="C328" t="s">
        <v>104</v>
      </c>
      <c r="D328" t="s">
        <v>20</v>
      </c>
      <c r="E328" t="s">
        <v>92</v>
      </c>
      <c r="F328">
        <v>2022</v>
      </c>
      <c r="G328" t="s">
        <v>108</v>
      </c>
      <c r="H328">
        <v>115</v>
      </c>
      <c r="I328">
        <v>8.1</v>
      </c>
      <c r="J328">
        <v>500197</v>
      </c>
      <c r="K328">
        <v>262.25</v>
      </c>
      <c r="L328">
        <v>76.12</v>
      </c>
      <c r="M328" t="s">
        <v>51</v>
      </c>
      <c r="N328" t="s">
        <v>101</v>
      </c>
      <c r="O328" t="s">
        <v>97</v>
      </c>
      <c r="P328" t="s">
        <v>45</v>
      </c>
      <c r="Q328" t="s">
        <v>123</v>
      </c>
    </row>
    <row r="329" spans="1:17" x14ac:dyDescent="0.3">
      <c r="A329" t="s">
        <v>765</v>
      </c>
      <c r="B329" t="s">
        <v>766</v>
      </c>
      <c r="C329" t="s">
        <v>19</v>
      </c>
      <c r="D329" t="s">
        <v>87</v>
      </c>
      <c r="E329" t="s">
        <v>41</v>
      </c>
      <c r="F329">
        <v>2024</v>
      </c>
      <c r="G329" t="s">
        <v>77</v>
      </c>
      <c r="H329">
        <v>163</v>
      </c>
      <c r="I329">
        <v>7</v>
      </c>
      <c r="J329">
        <v>792445</v>
      </c>
      <c r="K329">
        <v>236.29</v>
      </c>
      <c r="L329">
        <v>52.52</v>
      </c>
      <c r="M329" t="s">
        <v>42</v>
      </c>
      <c r="N329" t="s">
        <v>133</v>
      </c>
      <c r="O329" t="s">
        <v>74</v>
      </c>
      <c r="P329" t="s">
        <v>45</v>
      </c>
      <c r="Q329" t="s">
        <v>60</v>
      </c>
    </row>
    <row r="330" spans="1:17" x14ac:dyDescent="0.3">
      <c r="A330" t="s">
        <v>767</v>
      </c>
      <c r="B330" t="s">
        <v>768</v>
      </c>
      <c r="C330" t="s">
        <v>116</v>
      </c>
      <c r="D330" t="s">
        <v>72</v>
      </c>
      <c r="E330" t="s">
        <v>82</v>
      </c>
      <c r="F330">
        <v>2020</v>
      </c>
      <c r="G330" t="s">
        <v>100</v>
      </c>
      <c r="H330">
        <v>132</v>
      </c>
      <c r="I330">
        <v>8.1</v>
      </c>
      <c r="J330">
        <v>690424</v>
      </c>
      <c r="K330">
        <v>201.55</v>
      </c>
      <c r="L330">
        <v>170.22</v>
      </c>
      <c r="M330" t="s">
        <v>42</v>
      </c>
      <c r="N330" t="s">
        <v>109</v>
      </c>
      <c r="O330" t="s">
        <v>74</v>
      </c>
      <c r="P330" t="s">
        <v>26</v>
      </c>
      <c r="Q330" t="s">
        <v>36</v>
      </c>
    </row>
    <row r="331" spans="1:17" x14ac:dyDescent="0.3">
      <c r="A331" t="s">
        <v>769</v>
      </c>
      <c r="B331" t="s">
        <v>770</v>
      </c>
      <c r="C331" t="s">
        <v>130</v>
      </c>
      <c r="D331" t="s">
        <v>20</v>
      </c>
      <c r="E331" t="s">
        <v>41</v>
      </c>
      <c r="F331">
        <v>2023</v>
      </c>
      <c r="G331" t="s">
        <v>126</v>
      </c>
      <c r="H331">
        <v>87</v>
      </c>
      <c r="I331">
        <v>7.3</v>
      </c>
      <c r="J331">
        <v>219179</v>
      </c>
      <c r="K331">
        <v>438.84</v>
      </c>
      <c r="L331">
        <v>145.19</v>
      </c>
      <c r="M331" t="s">
        <v>78</v>
      </c>
      <c r="N331" t="s">
        <v>43</v>
      </c>
      <c r="O331" t="s">
        <v>105</v>
      </c>
      <c r="P331" t="s">
        <v>26</v>
      </c>
      <c r="Q331" t="s">
        <v>68</v>
      </c>
    </row>
    <row r="332" spans="1:17" x14ac:dyDescent="0.3">
      <c r="A332" t="s">
        <v>771</v>
      </c>
      <c r="B332" t="s">
        <v>772</v>
      </c>
      <c r="C332" t="s">
        <v>19</v>
      </c>
      <c r="D332" t="s">
        <v>20</v>
      </c>
      <c r="E332" t="s">
        <v>31</v>
      </c>
      <c r="F332">
        <v>2023</v>
      </c>
      <c r="G332" t="s">
        <v>113</v>
      </c>
      <c r="H332">
        <v>184</v>
      </c>
      <c r="I332">
        <v>6.7</v>
      </c>
      <c r="J332">
        <v>367146</v>
      </c>
      <c r="K332">
        <v>643.09</v>
      </c>
      <c r="L332">
        <v>89.07</v>
      </c>
      <c r="M332" t="s">
        <v>23</v>
      </c>
      <c r="N332" t="s">
        <v>179</v>
      </c>
      <c r="O332" t="s">
        <v>199</v>
      </c>
      <c r="P332" t="s">
        <v>26</v>
      </c>
      <c r="Q332" t="s">
        <v>54</v>
      </c>
    </row>
    <row r="333" spans="1:17" x14ac:dyDescent="0.3">
      <c r="A333" t="s">
        <v>773</v>
      </c>
      <c r="B333" t="s">
        <v>774</v>
      </c>
      <c r="C333" t="s">
        <v>130</v>
      </c>
      <c r="D333" t="s">
        <v>20</v>
      </c>
      <c r="E333" t="s">
        <v>192</v>
      </c>
      <c r="F333">
        <v>2020</v>
      </c>
      <c r="G333" t="s">
        <v>65</v>
      </c>
      <c r="H333">
        <v>180</v>
      </c>
      <c r="J333">
        <v>74959</v>
      </c>
      <c r="K333">
        <v>665.78</v>
      </c>
      <c r="L333">
        <v>137.69</v>
      </c>
      <c r="M333" t="s">
        <v>51</v>
      </c>
      <c r="N333" t="s">
        <v>109</v>
      </c>
      <c r="O333" t="s">
        <v>44</v>
      </c>
      <c r="P333" t="s">
        <v>26</v>
      </c>
      <c r="Q333" t="s">
        <v>36</v>
      </c>
    </row>
    <row r="334" spans="1:17" x14ac:dyDescent="0.3">
      <c r="A334" t="s">
        <v>775</v>
      </c>
      <c r="B334" t="s">
        <v>776</v>
      </c>
      <c r="C334" t="s">
        <v>144</v>
      </c>
      <c r="D334" t="s">
        <v>20</v>
      </c>
      <c r="E334" t="s">
        <v>82</v>
      </c>
      <c r="F334">
        <v>2024</v>
      </c>
      <c r="G334" t="s">
        <v>96</v>
      </c>
      <c r="H334">
        <v>187</v>
      </c>
      <c r="I334">
        <v>8.1999999999999993</v>
      </c>
      <c r="J334">
        <v>915136</v>
      </c>
      <c r="K334">
        <v>439.35</v>
      </c>
      <c r="L334">
        <v>135.15</v>
      </c>
      <c r="M334" t="s">
        <v>23</v>
      </c>
      <c r="N334" t="s">
        <v>89</v>
      </c>
      <c r="O334" t="s">
        <v>199</v>
      </c>
      <c r="P334" t="s">
        <v>26</v>
      </c>
      <c r="Q334" t="s">
        <v>123</v>
      </c>
    </row>
    <row r="335" spans="1:17" x14ac:dyDescent="0.3">
      <c r="A335" t="s">
        <v>777</v>
      </c>
      <c r="B335" t="s">
        <v>778</v>
      </c>
      <c r="C335" t="s">
        <v>71</v>
      </c>
      <c r="D335" t="s">
        <v>215</v>
      </c>
      <c r="E335" t="s">
        <v>21</v>
      </c>
      <c r="F335">
        <v>2018</v>
      </c>
      <c r="G335" t="s">
        <v>126</v>
      </c>
      <c r="H335">
        <v>131</v>
      </c>
      <c r="I335">
        <v>6.6</v>
      </c>
      <c r="J335">
        <v>464313</v>
      </c>
      <c r="K335">
        <v>412.17</v>
      </c>
      <c r="L335">
        <v>190.48</v>
      </c>
      <c r="M335" t="s">
        <v>216</v>
      </c>
      <c r="N335" t="s">
        <v>66</v>
      </c>
      <c r="O335" t="s">
        <v>245</v>
      </c>
      <c r="P335" t="s">
        <v>26</v>
      </c>
      <c r="Q335" t="s">
        <v>123</v>
      </c>
    </row>
    <row r="336" spans="1:17" x14ac:dyDescent="0.3">
      <c r="A336" t="s">
        <v>779</v>
      </c>
      <c r="B336" t="s">
        <v>780</v>
      </c>
      <c r="C336" t="s">
        <v>63</v>
      </c>
      <c r="D336" t="s">
        <v>57</v>
      </c>
      <c r="E336" t="s">
        <v>208</v>
      </c>
      <c r="F336">
        <v>2017</v>
      </c>
      <c r="G336" t="s">
        <v>96</v>
      </c>
      <c r="H336">
        <v>161</v>
      </c>
      <c r="I336">
        <v>8.6</v>
      </c>
      <c r="J336">
        <v>424189</v>
      </c>
      <c r="K336">
        <v>214.65</v>
      </c>
      <c r="L336">
        <v>31.73</v>
      </c>
      <c r="M336" t="s">
        <v>58</v>
      </c>
      <c r="N336" t="s">
        <v>83</v>
      </c>
      <c r="O336" t="s">
        <v>53</v>
      </c>
      <c r="P336" t="s">
        <v>45</v>
      </c>
      <c r="Q336" t="s">
        <v>152</v>
      </c>
    </row>
    <row r="337" spans="1:17" x14ac:dyDescent="0.3">
      <c r="A337" t="s">
        <v>781</v>
      </c>
      <c r="B337" t="s">
        <v>782</v>
      </c>
      <c r="C337" t="s">
        <v>104</v>
      </c>
      <c r="D337" t="s">
        <v>40</v>
      </c>
      <c r="E337" t="s">
        <v>82</v>
      </c>
      <c r="F337">
        <v>2016</v>
      </c>
      <c r="G337" t="s">
        <v>65</v>
      </c>
      <c r="H337">
        <v>149</v>
      </c>
      <c r="I337">
        <v>6.3</v>
      </c>
      <c r="J337">
        <v>607821</v>
      </c>
      <c r="K337">
        <v>487.06</v>
      </c>
      <c r="L337">
        <v>102.47</v>
      </c>
      <c r="M337" t="s">
        <v>42</v>
      </c>
      <c r="N337" t="s">
        <v>101</v>
      </c>
      <c r="O337" t="s">
        <v>44</v>
      </c>
      <c r="P337" t="s">
        <v>45</v>
      </c>
      <c r="Q337" t="s">
        <v>60</v>
      </c>
    </row>
    <row r="338" spans="1:17" x14ac:dyDescent="0.3">
      <c r="A338" t="s">
        <v>783</v>
      </c>
      <c r="B338" t="s">
        <v>784</v>
      </c>
      <c r="C338" t="s">
        <v>63</v>
      </c>
      <c r="D338" t="s">
        <v>57</v>
      </c>
      <c r="E338" t="s">
        <v>82</v>
      </c>
      <c r="F338">
        <v>2024</v>
      </c>
      <c r="G338" t="s">
        <v>65</v>
      </c>
      <c r="H338">
        <v>163</v>
      </c>
      <c r="I338">
        <v>7.2</v>
      </c>
      <c r="J338">
        <v>776839</v>
      </c>
      <c r="K338">
        <v>157.27000000000001</v>
      </c>
      <c r="L338">
        <v>26.61</v>
      </c>
      <c r="M338" t="s">
        <v>58</v>
      </c>
      <c r="N338" t="s">
        <v>140</v>
      </c>
      <c r="O338" t="s">
        <v>148</v>
      </c>
      <c r="P338" t="s">
        <v>26</v>
      </c>
      <c r="Q338" t="s">
        <v>36</v>
      </c>
    </row>
    <row r="339" spans="1:17" x14ac:dyDescent="0.3">
      <c r="A339" t="s">
        <v>785</v>
      </c>
      <c r="B339" t="s">
        <v>786</v>
      </c>
      <c r="C339" t="s">
        <v>39</v>
      </c>
      <c r="D339" t="s">
        <v>20</v>
      </c>
      <c r="E339" t="s">
        <v>82</v>
      </c>
      <c r="F339">
        <v>2021</v>
      </c>
      <c r="G339" t="s">
        <v>108</v>
      </c>
      <c r="H339">
        <v>121</v>
      </c>
      <c r="J339">
        <v>911234</v>
      </c>
      <c r="K339">
        <v>270.58</v>
      </c>
      <c r="L339">
        <v>43.56</v>
      </c>
      <c r="M339" t="s">
        <v>78</v>
      </c>
      <c r="N339" t="s">
        <v>109</v>
      </c>
      <c r="O339" t="s">
        <v>166</v>
      </c>
      <c r="P339" t="s">
        <v>26</v>
      </c>
      <c r="Q339" t="s">
        <v>152</v>
      </c>
    </row>
    <row r="340" spans="1:17" x14ac:dyDescent="0.3">
      <c r="A340" t="s">
        <v>787</v>
      </c>
      <c r="B340" t="s">
        <v>788</v>
      </c>
      <c r="C340" t="s">
        <v>144</v>
      </c>
      <c r="D340" t="s">
        <v>20</v>
      </c>
      <c r="E340" t="s">
        <v>88</v>
      </c>
      <c r="F340">
        <v>2016</v>
      </c>
      <c r="G340" t="s">
        <v>126</v>
      </c>
      <c r="H340">
        <v>113</v>
      </c>
      <c r="I340">
        <v>6.2</v>
      </c>
      <c r="J340">
        <v>510790</v>
      </c>
      <c r="K340">
        <v>203.11</v>
      </c>
      <c r="L340">
        <v>65.94</v>
      </c>
      <c r="M340" t="s">
        <v>78</v>
      </c>
      <c r="N340" t="s">
        <v>52</v>
      </c>
      <c r="O340" t="s">
        <v>53</v>
      </c>
      <c r="P340" t="s">
        <v>45</v>
      </c>
      <c r="Q340" t="s">
        <v>54</v>
      </c>
    </row>
    <row r="341" spans="1:17" x14ac:dyDescent="0.3">
      <c r="A341" t="s">
        <v>789</v>
      </c>
      <c r="B341" t="s">
        <v>790</v>
      </c>
      <c r="C341" t="s">
        <v>130</v>
      </c>
      <c r="D341" t="s">
        <v>20</v>
      </c>
      <c r="E341" t="s">
        <v>49</v>
      </c>
      <c r="F341">
        <v>2019</v>
      </c>
      <c r="G341" t="s">
        <v>108</v>
      </c>
      <c r="H341">
        <v>92</v>
      </c>
      <c r="I341">
        <v>7.4</v>
      </c>
      <c r="J341">
        <v>369838</v>
      </c>
      <c r="K341">
        <v>368.09</v>
      </c>
      <c r="L341">
        <v>127.82</v>
      </c>
      <c r="M341" t="s">
        <v>33</v>
      </c>
      <c r="N341" t="s">
        <v>73</v>
      </c>
      <c r="O341" t="s">
        <v>53</v>
      </c>
      <c r="P341" t="s">
        <v>26</v>
      </c>
      <c r="Q341" t="s">
        <v>68</v>
      </c>
    </row>
    <row r="342" spans="1:17" x14ac:dyDescent="0.3">
      <c r="A342" t="s">
        <v>791</v>
      </c>
      <c r="B342" t="s">
        <v>792</v>
      </c>
      <c r="C342" t="s">
        <v>86</v>
      </c>
      <c r="D342" t="s">
        <v>171</v>
      </c>
      <c r="E342" t="s">
        <v>88</v>
      </c>
      <c r="F342">
        <v>2023</v>
      </c>
      <c r="G342" t="s">
        <v>93</v>
      </c>
      <c r="H342">
        <v>142</v>
      </c>
      <c r="I342">
        <v>7.7</v>
      </c>
      <c r="J342">
        <v>594097</v>
      </c>
      <c r="K342">
        <v>1205.69</v>
      </c>
      <c r="L342">
        <v>165.53</v>
      </c>
      <c r="M342" t="s">
        <v>172</v>
      </c>
      <c r="N342" t="s">
        <v>34</v>
      </c>
      <c r="O342" t="s">
        <v>53</v>
      </c>
      <c r="P342" t="s">
        <v>26</v>
      </c>
      <c r="Q342" t="s">
        <v>68</v>
      </c>
    </row>
    <row r="343" spans="1:17" x14ac:dyDescent="0.3">
      <c r="A343" t="s">
        <v>793</v>
      </c>
      <c r="B343" t="s">
        <v>794</v>
      </c>
      <c r="C343" t="s">
        <v>39</v>
      </c>
      <c r="D343" t="s">
        <v>20</v>
      </c>
      <c r="E343" t="s">
        <v>92</v>
      </c>
      <c r="F343">
        <v>2018</v>
      </c>
      <c r="G343" t="s">
        <v>65</v>
      </c>
      <c r="H343">
        <v>155</v>
      </c>
      <c r="I343">
        <v>7.2</v>
      </c>
      <c r="J343">
        <v>392594</v>
      </c>
      <c r="K343">
        <v>327.27</v>
      </c>
      <c r="L343">
        <v>48.77</v>
      </c>
      <c r="M343" t="s">
        <v>33</v>
      </c>
      <c r="N343" t="s">
        <v>109</v>
      </c>
      <c r="O343" t="s">
        <v>141</v>
      </c>
      <c r="P343" t="s">
        <v>26</v>
      </c>
      <c r="Q343" t="s">
        <v>123</v>
      </c>
    </row>
    <row r="344" spans="1:17" x14ac:dyDescent="0.3">
      <c r="A344" t="s">
        <v>795</v>
      </c>
      <c r="B344" t="s">
        <v>796</v>
      </c>
      <c r="C344" t="s">
        <v>130</v>
      </c>
      <c r="D344" t="s">
        <v>20</v>
      </c>
      <c r="E344" t="s">
        <v>92</v>
      </c>
      <c r="F344">
        <v>2019</v>
      </c>
      <c r="G344" t="s">
        <v>155</v>
      </c>
      <c r="H344">
        <v>103</v>
      </c>
      <c r="I344">
        <v>6.7</v>
      </c>
      <c r="J344">
        <v>834435</v>
      </c>
      <c r="K344">
        <v>1115.9000000000001</v>
      </c>
      <c r="L344">
        <v>217.05</v>
      </c>
      <c r="M344" t="s">
        <v>51</v>
      </c>
      <c r="N344" t="s">
        <v>101</v>
      </c>
      <c r="O344" t="s">
        <v>127</v>
      </c>
      <c r="P344" t="s">
        <v>26</v>
      </c>
      <c r="Q344" t="s">
        <v>152</v>
      </c>
    </row>
    <row r="345" spans="1:17" x14ac:dyDescent="0.3">
      <c r="A345" t="s">
        <v>797</v>
      </c>
      <c r="B345" t="s">
        <v>798</v>
      </c>
      <c r="C345" t="s">
        <v>104</v>
      </c>
      <c r="D345" t="s">
        <v>20</v>
      </c>
      <c r="E345" t="s">
        <v>31</v>
      </c>
      <c r="F345">
        <v>2021</v>
      </c>
      <c r="G345" t="s">
        <v>32</v>
      </c>
      <c r="H345">
        <v>122</v>
      </c>
      <c r="I345">
        <v>6.7</v>
      </c>
      <c r="J345">
        <v>698029</v>
      </c>
      <c r="K345">
        <v>1255.56</v>
      </c>
      <c r="L345">
        <v>235.21</v>
      </c>
      <c r="M345" t="s">
        <v>23</v>
      </c>
      <c r="N345" t="s">
        <v>83</v>
      </c>
      <c r="O345" t="s">
        <v>245</v>
      </c>
      <c r="P345" t="s">
        <v>26</v>
      </c>
      <c r="Q345" t="s">
        <v>60</v>
      </c>
    </row>
    <row r="346" spans="1:17" x14ac:dyDescent="0.3">
      <c r="A346" t="s">
        <v>799</v>
      </c>
      <c r="B346" t="s">
        <v>800</v>
      </c>
      <c r="C346" t="s">
        <v>30</v>
      </c>
      <c r="D346" t="s">
        <v>20</v>
      </c>
      <c r="E346" t="s">
        <v>41</v>
      </c>
      <c r="F346">
        <v>2023</v>
      </c>
      <c r="G346" t="s">
        <v>65</v>
      </c>
      <c r="H346">
        <v>144</v>
      </c>
      <c r="I346">
        <v>8.3000000000000007</v>
      </c>
      <c r="J346">
        <v>709241</v>
      </c>
      <c r="K346">
        <v>630.27</v>
      </c>
      <c r="L346">
        <v>187.93</v>
      </c>
      <c r="M346" t="s">
        <v>33</v>
      </c>
      <c r="N346" t="s">
        <v>119</v>
      </c>
      <c r="O346" t="s">
        <v>151</v>
      </c>
      <c r="P346" t="s">
        <v>26</v>
      </c>
      <c r="Q346" t="s">
        <v>152</v>
      </c>
    </row>
    <row r="347" spans="1:17" x14ac:dyDescent="0.3">
      <c r="A347" t="s">
        <v>801</v>
      </c>
      <c r="B347" t="s">
        <v>802</v>
      </c>
      <c r="C347" t="s">
        <v>19</v>
      </c>
      <c r="D347" t="s">
        <v>20</v>
      </c>
      <c r="E347" t="s">
        <v>41</v>
      </c>
      <c r="F347">
        <v>2021</v>
      </c>
      <c r="G347" t="s">
        <v>93</v>
      </c>
      <c r="H347">
        <v>112</v>
      </c>
      <c r="I347">
        <v>5.6</v>
      </c>
      <c r="J347">
        <v>639837</v>
      </c>
      <c r="K347">
        <v>389.89</v>
      </c>
      <c r="L347">
        <v>114.84</v>
      </c>
      <c r="M347" t="s">
        <v>23</v>
      </c>
      <c r="N347" t="s">
        <v>89</v>
      </c>
      <c r="O347" t="s">
        <v>151</v>
      </c>
      <c r="P347" t="s">
        <v>26</v>
      </c>
      <c r="Q347" t="s">
        <v>54</v>
      </c>
    </row>
    <row r="348" spans="1:17" x14ac:dyDescent="0.3">
      <c r="A348" t="s">
        <v>803</v>
      </c>
      <c r="B348" t="s">
        <v>804</v>
      </c>
      <c r="C348" t="s">
        <v>39</v>
      </c>
      <c r="D348" t="s">
        <v>20</v>
      </c>
      <c r="E348" t="s">
        <v>88</v>
      </c>
      <c r="F348">
        <v>2020</v>
      </c>
      <c r="G348" t="s">
        <v>93</v>
      </c>
      <c r="H348">
        <v>166</v>
      </c>
      <c r="I348">
        <v>7.2</v>
      </c>
      <c r="J348">
        <v>929125</v>
      </c>
      <c r="K348">
        <v>1518.53</v>
      </c>
      <c r="L348">
        <v>240.84</v>
      </c>
      <c r="M348" t="s">
        <v>78</v>
      </c>
      <c r="N348" t="s">
        <v>89</v>
      </c>
      <c r="O348" t="s">
        <v>35</v>
      </c>
      <c r="P348" t="s">
        <v>26</v>
      </c>
      <c r="Q348" t="s">
        <v>36</v>
      </c>
    </row>
    <row r="349" spans="1:17" x14ac:dyDescent="0.3">
      <c r="A349" t="s">
        <v>805</v>
      </c>
      <c r="B349" t="s">
        <v>806</v>
      </c>
      <c r="C349" t="s">
        <v>144</v>
      </c>
      <c r="D349" t="s">
        <v>20</v>
      </c>
      <c r="E349" t="s">
        <v>82</v>
      </c>
      <c r="F349">
        <v>2015</v>
      </c>
      <c r="G349" t="s">
        <v>100</v>
      </c>
      <c r="H349">
        <v>90</v>
      </c>
      <c r="I349">
        <v>6.3</v>
      </c>
      <c r="J349">
        <v>721226</v>
      </c>
      <c r="K349">
        <v>1410.2</v>
      </c>
      <c r="L349">
        <v>212.33</v>
      </c>
      <c r="M349" t="s">
        <v>78</v>
      </c>
      <c r="N349" t="s">
        <v>89</v>
      </c>
      <c r="O349" t="s">
        <v>53</v>
      </c>
      <c r="P349" t="s">
        <v>26</v>
      </c>
      <c r="Q349" t="s">
        <v>60</v>
      </c>
    </row>
    <row r="350" spans="1:17" x14ac:dyDescent="0.3">
      <c r="A350" t="s">
        <v>807</v>
      </c>
      <c r="B350" t="s">
        <v>808</v>
      </c>
      <c r="C350" t="s">
        <v>86</v>
      </c>
      <c r="D350" t="s">
        <v>40</v>
      </c>
      <c r="E350" t="s">
        <v>88</v>
      </c>
      <c r="F350">
        <v>2025</v>
      </c>
      <c r="G350" t="s">
        <v>100</v>
      </c>
      <c r="H350">
        <v>105</v>
      </c>
      <c r="I350">
        <v>8.3000000000000007</v>
      </c>
      <c r="J350">
        <v>98674</v>
      </c>
      <c r="K350">
        <v>407.17</v>
      </c>
      <c r="L350">
        <v>164.34</v>
      </c>
      <c r="M350" t="s">
        <v>42</v>
      </c>
      <c r="N350" t="s">
        <v>145</v>
      </c>
      <c r="O350" t="s">
        <v>120</v>
      </c>
      <c r="P350" t="s">
        <v>26</v>
      </c>
      <c r="Q350" t="s">
        <v>27</v>
      </c>
    </row>
    <row r="351" spans="1:17" x14ac:dyDescent="0.3">
      <c r="A351" t="s">
        <v>809</v>
      </c>
      <c r="B351" t="s">
        <v>810</v>
      </c>
      <c r="C351" t="s">
        <v>63</v>
      </c>
      <c r="D351" t="s">
        <v>20</v>
      </c>
      <c r="E351" t="s">
        <v>31</v>
      </c>
      <c r="F351">
        <v>2017</v>
      </c>
      <c r="G351" t="s">
        <v>22</v>
      </c>
      <c r="H351">
        <v>126</v>
      </c>
      <c r="I351">
        <v>7.1</v>
      </c>
      <c r="J351">
        <v>260896</v>
      </c>
      <c r="K351">
        <v>12.44</v>
      </c>
      <c r="L351">
        <v>3.69</v>
      </c>
      <c r="M351" t="s">
        <v>33</v>
      </c>
      <c r="N351" t="s">
        <v>52</v>
      </c>
      <c r="O351" t="s">
        <v>44</v>
      </c>
      <c r="P351" t="s">
        <v>26</v>
      </c>
      <c r="Q351" t="s">
        <v>54</v>
      </c>
    </row>
    <row r="352" spans="1:17" x14ac:dyDescent="0.3">
      <c r="A352" t="s">
        <v>811</v>
      </c>
      <c r="B352" t="s">
        <v>812</v>
      </c>
      <c r="C352" t="s">
        <v>71</v>
      </c>
      <c r="D352" t="s">
        <v>20</v>
      </c>
      <c r="E352" t="s">
        <v>88</v>
      </c>
      <c r="F352">
        <v>2020</v>
      </c>
      <c r="G352" t="s">
        <v>96</v>
      </c>
      <c r="H352">
        <v>91</v>
      </c>
      <c r="I352">
        <v>9.1</v>
      </c>
      <c r="J352">
        <v>169972</v>
      </c>
      <c r="K352">
        <v>825.57</v>
      </c>
      <c r="L352">
        <v>168.68</v>
      </c>
      <c r="M352" t="s">
        <v>23</v>
      </c>
      <c r="N352" t="s">
        <v>89</v>
      </c>
      <c r="O352" t="s">
        <v>74</v>
      </c>
      <c r="P352" t="s">
        <v>26</v>
      </c>
      <c r="Q352" t="s">
        <v>152</v>
      </c>
    </row>
    <row r="353" spans="1:17" x14ac:dyDescent="0.3">
      <c r="A353" t="s">
        <v>813</v>
      </c>
      <c r="B353" t="s">
        <v>814</v>
      </c>
      <c r="C353" t="s">
        <v>63</v>
      </c>
      <c r="D353" t="s">
        <v>72</v>
      </c>
      <c r="E353" t="s">
        <v>41</v>
      </c>
      <c r="F353">
        <v>2021</v>
      </c>
      <c r="G353" t="s">
        <v>96</v>
      </c>
      <c r="H353">
        <v>146</v>
      </c>
      <c r="I353">
        <v>8.1999999999999993</v>
      </c>
      <c r="J353">
        <v>930001</v>
      </c>
      <c r="K353">
        <v>29.87</v>
      </c>
      <c r="L353">
        <v>6.62</v>
      </c>
      <c r="M353" t="s">
        <v>42</v>
      </c>
      <c r="N353" t="s">
        <v>179</v>
      </c>
      <c r="O353" t="s">
        <v>127</v>
      </c>
      <c r="P353" t="s">
        <v>26</v>
      </c>
      <c r="Q353" t="s">
        <v>54</v>
      </c>
    </row>
    <row r="354" spans="1:17" x14ac:dyDescent="0.3">
      <c r="A354" t="s">
        <v>675</v>
      </c>
      <c r="B354" t="s">
        <v>676</v>
      </c>
      <c r="C354" t="s">
        <v>30</v>
      </c>
      <c r="D354" t="s">
        <v>20</v>
      </c>
      <c r="E354" t="s">
        <v>139</v>
      </c>
      <c r="F354">
        <v>2025</v>
      </c>
      <c r="G354" t="s">
        <v>32</v>
      </c>
      <c r="H354">
        <v>91</v>
      </c>
      <c r="I354">
        <v>8.1999999999999993</v>
      </c>
      <c r="J354">
        <v>6347</v>
      </c>
      <c r="K354">
        <v>1272.51</v>
      </c>
      <c r="L354">
        <v>201.48</v>
      </c>
      <c r="M354" t="s">
        <v>33</v>
      </c>
      <c r="N354" t="s">
        <v>66</v>
      </c>
      <c r="O354" t="s">
        <v>25</v>
      </c>
      <c r="P354" t="s">
        <v>26</v>
      </c>
      <c r="Q354" t="s">
        <v>152</v>
      </c>
    </row>
    <row r="355" spans="1:17" x14ac:dyDescent="0.3">
      <c r="A355" t="s">
        <v>815</v>
      </c>
      <c r="B355" t="s">
        <v>816</v>
      </c>
      <c r="C355" t="s">
        <v>39</v>
      </c>
      <c r="D355" t="s">
        <v>64</v>
      </c>
      <c r="E355" t="s">
        <v>41</v>
      </c>
      <c r="F355">
        <v>2025</v>
      </c>
      <c r="G355" t="s">
        <v>126</v>
      </c>
      <c r="H355">
        <v>95</v>
      </c>
      <c r="I355">
        <v>7.1</v>
      </c>
      <c r="J355">
        <v>793253</v>
      </c>
      <c r="K355">
        <v>882.07</v>
      </c>
      <c r="L355">
        <v>191.58</v>
      </c>
      <c r="M355" t="s">
        <v>42</v>
      </c>
      <c r="N355" t="s">
        <v>119</v>
      </c>
      <c r="O355" t="s">
        <v>59</v>
      </c>
      <c r="P355" t="s">
        <v>26</v>
      </c>
      <c r="Q355" t="s">
        <v>27</v>
      </c>
    </row>
    <row r="356" spans="1:17" x14ac:dyDescent="0.3">
      <c r="A356" t="s">
        <v>817</v>
      </c>
      <c r="B356" t="s">
        <v>818</v>
      </c>
      <c r="C356" t="s">
        <v>86</v>
      </c>
      <c r="D356" t="s">
        <v>72</v>
      </c>
      <c r="E356" t="s">
        <v>82</v>
      </c>
      <c r="F356">
        <v>2024</v>
      </c>
      <c r="G356" t="s">
        <v>65</v>
      </c>
      <c r="H356">
        <v>152</v>
      </c>
      <c r="I356">
        <v>7.3</v>
      </c>
      <c r="J356">
        <v>296348</v>
      </c>
      <c r="K356">
        <v>261</v>
      </c>
      <c r="L356">
        <v>44.6</v>
      </c>
      <c r="M356" t="s">
        <v>42</v>
      </c>
      <c r="N356" t="s">
        <v>24</v>
      </c>
      <c r="O356" t="s">
        <v>199</v>
      </c>
      <c r="P356" t="s">
        <v>26</v>
      </c>
      <c r="Q356" t="s">
        <v>60</v>
      </c>
    </row>
    <row r="357" spans="1:17" x14ac:dyDescent="0.3">
      <c r="A357" t="s">
        <v>819</v>
      </c>
      <c r="B357" t="s">
        <v>820</v>
      </c>
      <c r="C357" t="s">
        <v>39</v>
      </c>
      <c r="D357" t="s">
        <v>211</v>
      </c>
      <c r="E357" t="s">
        <v>82</v>
      </c>
      <c r="F357">
        <v>2017</v>
      </c>
      <c r="G357" t="s">
        <v>93</v>
      </c>
      <c r="H357">
        <v>126</v>
      </c>
      <c r="I357">
        <v>7.7</v>
      </c>
      <c r="J357">
        <v>544903</v>
      </c>
      <c r="K357">
        <v>1448.39</v>
      </c>
      <c r="L357">
        <v>223.94</v>
      </c>
      <c r="M357" t="s">
        <v>212</v>
      </c>
      <c r="N357" t="s">
        <v>179</v>
      </c>
      <c r="O357" t="s">
        <v>127</v>
      </c>
      <c r="P357" t="s">
        <v>26</v>
      </c>
      <c r="Q357" t="s">
        <v>36</v>
      </c>
    </row>
    <row r="358" spans="1:17" x14ac:dyDescent="0.3">
      <c r="A358" t="s">
        <v>821</v>
      </c>
      <c r="B358" t="s">
        <v>822</v>
      </c>
      <c r="C358" t="s">
        <v>86</v>
      </c>
      <c r="D358" t="s">
        <v>87</v>
      </c>
      <c r="E358" t="s">
        <v>82</v>
      </c>
      <c r="F358">
        <v>2019</v>
      </c>
      <c r="G358" t="s">
        <v>126</v>
      </c>
      <c r="H358">
        <v>121</v>
      </c>
      <c r="I358">
        <v>7.1</v>
      </c>
      <c r="J358">
        <v>18775</v>
      </c>
      <c r="K358">
        <v>692.94</v>
      </c>
      <c r="L358">
        <v>126.55</v>
      </c>
      <c r="M358" t="s">
        <v>42</v>
      </c>
      <c r="N358" t="s">
        <v>52</v>
      </c>
      <c r="O358" t="s">
        <v>120</v>
      </c>
      <c r="P358" t="s">
        <v>26</v>
      </c>
      <c r="Q358" t="s">
        <v>152</v>
      </c>
    </row>
    <row r="359" spans="1:17" x14ac:dyDescent="0.3">
      <c r="A359" t="s">
        <v>823</v>
      </c>
      <c r="B359" t="s">
        <v>824</v>
      </c>
      <c r="C359" t="s">
        <v>19</v>
      </c>
      <c r="D359" t="s">
        <v>20</v>
      </c>
      <c r="E359" t="s">
        <v>41</v>
      </c>
      <c r="F359">
        <v>2023</v>
      </c>
      <c r="G359" t="s">
        <v>77</v>
      </c>
      <c r="H359">
        <v>120</v>
      </c>
      <c r="I359">
        <v>7.4</v>
      </c>
      <c r="J359">
        <v>545732</v>
      </c>
      <c r="K359">
        <v>769.13</v>
      </c>
      <c r="L359">
        <v>115.62</v>
      </c>
      <c r="M359" t="s">
        <v>33</v>
      </c>
      <c r="N359" t="s">
        <v>43</v>
      </c>
      <c r="O359" t="s">
        <v>25</v>
      </c>
      <c r="P359" t="s">
        <v>26</v>
      </c>
      <c r="Q359" t="s">
        <v>36</v>
      </c>
    </row>
    <row r="360" spans="1:17" x14ac:dyDescent="0.3">
      <c r="A360" t="s">
        <v>825</v>
      </c>
      <c r="B360" t="s">
        <v>826</v>
      </c>
      <c r="C360" t="s">
        <v>86</v>
      </c>
      <c r="D360" t="s">
        <v>211</v>
      </c>
      <c r="E360" t="s">
        <v>82</v>
      </c>
      <c r="F360">
        <v>2018</v>
      </c>
      <c r="G360" t="s">
        <v>126</v>
      </c>
      <c r="H360">
        <v>129</v>
      </c>
      <c r="I360">
        <v>7.6</v>
      </c>
      <c r="J360">
        <v>576851</v>
      </c>
      <c r="K360">
        <v>141.59</v>
      </c>
      <c r="L360">
        <v>80.98</v>
      </c>
      <c r="M360" t="s">
        <v>212</v>
      </c>
      <c r="N360" t="s">
        <v>83</v>
      </c>
      <c r="O360" t="s">
        <v>141</v>
      </c>
      <c r="P360" t="s">
        <v>26</v>
      </c>
      <c r="Q360" t="s">
        <v>152</v>
      </c>
    </row>
    <row r="361" spans="1:17" x14ac:dyDescent="0.3">
      <c r="A361" t="s">
        <v>827</v>
      </c>
      <c r="B361" t="s">
        <v>828</v>
      </c>
      <c r="C361" t="s">
        <v>63</v>
      </c>
      <c r="D361" t="s">
        <v>87</v>
      </c>
      <c r="E361" t="s">
        <v>208</v>
      </c>
      <c r="F361">
        <v>2024</v>
      </c>
      <c r="G361" t="s">
        <v>113</v>
      </c>
      <c r="H361">
        <v>175</v>
      </c>
      <c r="I361">
        <v>7.7</v>
      </c>
      <c r="J361">
        <v>73733</v>
      </c>
      <c r="K361">
        <v>31.09</v>
      </c>
      <c r="L361">
        <v>13.36</v>
      </c>
      <c r="M361" t="s">
        <v>42</v>
      </c>
      <c r="N361" t="s">
        <v>43</v>
      </c>
      <c r="O361" t="s">
        <v>141</v>
      </c>
      <c r="P361" t="s">
        <v>26</v>
      </c>
      <c r="Q361" t="s">
        <v>27</v>
      </c>
    </row>
    <row r="362" spans="1:17" x14ac:dyDescent="0.3">
      <c r="A362" t="s">
        <v>829</v>
      </c>
      <c r="B362" t="s">
        <v>830</v>
      </c>
      <c r="C362" t="s">
        <v>104</v>
      </c>
      <c r="D362" t="s">
        <v>87</v>
      </c>
      <c r="E362" t="s">
        <v>88</v>
      </c>
      <c r="F362">
        <v>2024</v>
      </c>
      <c r="G362" t="s">
        <v>22</v>
      </c>
      <c r="H362">
        <v>116</v>
      </c>
      <c r="I362">
        <v>6.4</v>
      </c>
      <c r="J362">
        <v>481219</v>
      </c>
      <c r="K362">
        <v>91.68</v>
      </c>
      <c r="L362">
        <v>23.26</v>
      </c>
      <c r="M362" t="s">
        <v>42</v>
      </c>
      <c r="N362" t="s">
        <v>24</v>
      </c>
      <c r="O362" t="s">
        <v>166</v>
      </c>
      <c r="P362" t="s">
        <v>26</v>
      </c>
      <c r="Q362" t="s">
        <v>123</v>
      </c>
    </row>
    <row r="363" spans="1:17" x14ac:dyDescent="0.3">
      <c r="A363" t="s">
        <v>831</v>
      </c>
      <c r="B363" t="s">
        <v>832</v>
      </c>
      <c r="C363" t="s">
        <v>86</v>
      </c>
      <c r="D363" t="s">
        <v>20</v>
      </c>
      <c r="E363" t="s">
        <v>82</v>
      </c>
      <c r="F363">
        <v>2023</v>
      </c>
      <c r="G363" t="s">
        <v>22</v>
      </c>
      <c r="H363">
        <v>152</v>
      </c>
      <c r="I363">
        <v>7.1</v>
      </c>
      <c r="J363">
        <v>592373</v>
      </c>
      <c r="K363">
        <v>189.5</v>
      </c>
      <c r="L363">
        <v>29.83</v>
      </c>
      <c r="M363" t="s">
        <v>23</v>
      </c>
      <c r="N363" t="s">
        <v>83</v>
      </c>
      <c r="O363" t="s">
        <v>127</v>
      </c>
      <c r="P363" t="s">
        <v>26</v>
      </c>
      <c r="Q363" t="s">
        <v>36</v>
      </c>
    </row>
    <row r="364" spans="1:17" x14ac:dyDescent="0.3">
      <c r="A364" t="s">
        <v>833</v>
      </c>
      <c r="B364" t="s">
        <v>834</v>
      </c>
      <c r="C364" t="s">
        <v>63</v>
      </c>
      <c r="D364" t="s">
        <v>20</v>
      </c>
      <c r="E364" t="s">
        <v>31</v>
      </c>
      <c r="F364">
        <v>2016</v>
      </c>
      <c r="G364" t="s">
        <v>100</v>
      </c>
      <c r="H364">
        <v>142</v>
      </c>
      <c r="I364">
        <v>8.3000000000000007</v>
      </c>
      <c r="J364">
        <v>494878</v>
      </c>
      <c r="K364">
        <v>16.809999999999999</v>
      </c>
      <c r="L364">
        <v>7.64</v>
      </c>
      <c r="M364" t="s">
        <v>23</v>
      </c>
      <c r="N364" t="s">
        <v>179</v>
      </c>
      <c r="O364" t="s">
        <v>127</v>
      </c>
      <c r="P364" t="s">
        <v>45</v>
      </c>
      <c r="Q364" t="s">
        <v>68</v>
      </c>
    </row>
    <row r="365" spans="1:17" x14ac:dyDescent="0.3">
      <c r="A365" t="s">
        <v>835</v>
      </c>
      <c r="B365" t="s">
        <v>836</v>
      </c>
      <c r="C365" t="s">
        <v>19</v>
      </c>
      <c r="D365" t="s">
        <v>87</v>
      </c>
      <c r="E365" t="s">
        <v>41</v>
      </c>
      <c r="F365">
        <v>2024</v>
      </c>
      <c r="G365" t="s">
        <v>100</v>
      </c>
      <c r="H365">
        <v>108</v>
      </c>
      <c r="I365">
        <v>8.4</v>
      </c>
      <c r="J365">
        <v>576010</v>
      </c>
      <c r="K365">
        <v>175.03</v>
      </c>
      <c r="L365">
        <v>67.19</v>
      </c>
      <c r="M365" t="s">
        <v>42</v>
      </c>
      <c r="N365" t="s">
        <v>34</v>
      </c>
      <c r="O365" t="s">
        <v>120</v>
      </c>
      <c r="P365" t="s">
        <v>26</v>
      </c>
      <c r="Q365" t="s">
        <v>27</v>
      </c>
    </row>
    <row r="366" spans="1:17" x14ac:dyDescent="0.3">
      <c r="A366" t="s">
        <v>837</v>
      </c>
      <c r="B366" t="s">
        <v>838</v>
      </c>
      <c r="C366" t="s">
        <v>48</v>
      </c>
      <c r="D366" t="s">
        <v>20</v>
      </c>
      <c r="E366" t="s">
        <v>21</v>
      </c>
      <c r="F366">
        <v>2024</v>
      </c>
      <c r="G366" t="s">
        <v>32</v>
      </c>
      <c r="H366">
        <v>165</v>
      </c>
      <c r="I366">
        <v>7.7</v>
      </c>
      <c r="J366">
        <v>485752</v>
      </c>
      <c r="K366">
        <v>69.87</v>
      </c>
      <c r="L366">
        <v>38.64</v>
      </c>
      <c r="M366" t="s">
        <v>78</v>
      </c>
      <c r="N366" t="s">
        <v>119</v>
      </c>
      <c r="O366" t="s">
        <v>25</v>
      </c>
      <c r="P366" t="s">
        <v>26</v>
      </c>
      <c r="Q366" t="s">
        <v>54</v>
      </c>
    </row>
    <row r="367" spans="1:17" x14ac:dyDescent="0.3">
      <c r="A367" t="s">
        <v>839</v>
      </c>
      <c r="B367" t="s">
        <v>840</v>
      </c>
      <c r="C367" t="s">
        <v>48</v>
      </c>
      <c r="D367" t="s">
        <v>81</v>
      </c>
      <c r="E367" t="s">
        <v>41</v>
      </c>
      <c r="F367">
        <v>2017</v>
      </c>
      <c r="G367" t="s">
        <v>22</v>
      </c>
      <c r="H367">
        <v>150</v>
      </c>
      <c r="I367">
        <v>7.8</v>
      </c>
      <c r="J367">
        <v>490291</v>
      </c>
      <c r="K367">
        <v>360.38</v>
      </c>
      <c r="L367">
        <v>125.69</v>
      </c>
      <c r="M367" t="s">
        <v>42</v>
      </c>
      <c r="N367" t="s">
        <v>43</v>
      </c>
      <c r="O367" t="s">
        <v>166</v>
      </c>
      <c r="P367" t="s">
        <v>45</v>
      </c>
      <c r="Q367" t="s">
        <v>27</v>
      </c>
    </row>
    <row r="368" spans="1:17" x14ac:dyDescent="0.3">
      <c r="A368" t="s">
        <v>841</v>
      </c>
      <c r="B368" t="s">
        <v>842</v>
      </c>
      <c r="C368" t="s">
        <v>39</v>
      </c>
      <c r="D368" t="s">
        <v>211</v>
      </c>
      <c r="E368" t="s">
        <v>41</v>
      </c>
      <c r="F368">
        <v>2025</v>
      </c>
      <c r="G368" t="s">
        <v>126</v>
      </c>
      <c r="H368">
        <v>143</v>
      </c>
      <c r="I368">
        <v>8</v>
      </c>
      <c r="J368">
        <v>706596</v>
      </c>
      <c r="K368">
        <v>270.67</v>
      </c>
      <c r="L368">
        <v>235.88</v>
      </c>
      <c r="M368" t="s">
        <v>212</v>
      </c>
      <c r="N368" t="s">
        <v>109</v>
      </c>
      <c r="O368" t="s">
        <v>25</v>
      </c>
      <c r="P368" t="s">
        <v>26</v>
      </c>
      <c r="Q368" t="s">
        <v>152</v>
      </c>
    </row>
    <row r="369" spans="1:17" x14ac:dyDescent="0.3">
      <c r="A369" t="s">
        <v>843</v>
      </c>
      <c r="B369" t="s">
        <v>844</v>
      </c>
      <c r="C369" t="s">
        <v>48</v>
      </c>
      <c r="D369" t="s">
        <v>20</v>
      </c>
      <c r="E369" t="s">
        <v>31</v>
      </c>
      <c r="F369">
        <v>2020</v>
      </c>
      <c r="G369" t="s">
        <v>96</v>
      </c>
      <c r="H369">
        <v>168</v>
      </c>
      <c r="I369">
        <v>7.6</v>
      </c>
      <c r="J369">
        <v>315277</v>
      </c>
      <c r="K369">
        <v>483.11</v>
      </c>
      <c r="L369">
        <v>109.36</v>
      </c>
      <c r="M369" t="s">
        <v>23</v>
      </c>
      <c r="N369" t="s">
        <v>109</v>
      </c>
      <c r="O369" t="s">
        <v>166</v>
      </c>
      <c r="P369" t="s">
        <v>26</v>
      </c>
      <c r="Q369" t="s">
        <v>60</v>
      </c>
    </row>
    <row r="370" spans="1:17" x14ac:dyDescent="0.3">
      <c r="A370" t="s">
        <v>845</v>
      </c>
      <c r="B370" t="s">
        <v>846</v>
      </c>
      <c r="C370" t="s">
        <v>30</v>
      </c>
      <c r="D370" t="s">
        <v>20</v>
      </c>
      <c r="E370" t="s">
        <v>41</v>
      </c>
      <c r="F370">
        <v>2023</v>
      </c>
      <c r="G370" t="s">
        <v>77</v>
      </c>
      <c r="H370">
        <v>150</v>
      </c>
      <c r="I370">
        <v>7.7</v>
      </c>
      <c r="J370">
        <v>842614</v>
      </c>
      <c r="K370">
        <v>520.57000000000005</v>
      </c>
      <c r="L370">
        <v>128.16999999999999</v>
      </c>
      <c r="M370" t="s">
        <v>78</v>
      </c>
      <c r="N370" t="s">
        <v>66</v>
      </c>
      <c r="O370" t="s">
        <v>151</v>
      </c>
      <c r="P370" t="s">
        <v>26</v>
      </c>
      <c r="Q370" t="s">
        <v>60</v>
      </c>
    </row>
    <row r="371" spans="1:17" x14ac:dyDescent="0.3">
      <c r="A371" t="s">
        <v>847</v>
      </c>
      <c r="B371" t="s">
        <v>848</v>
      </c>
      <c r="C371" t="s">
        <v>39</v>
      </c>
      <c r="D371" t="s">
        <v>20</v>
      </c>
      <c r="E371" t="s">
        <v>88</v>
      </c>
      <c r="F371">
        <v>2019</v>
      </c>
      <c r="G371" t="s">
        <v>93</v>
      </c>
      <c r="H371">
        <v>150</v>
      </c>
      <c r="I371">
        <v>7.9</v>
      </c>
      <c r="J371">
        <v>613254</v>
      </c>
      <c r="K371">
        <v>488.14</v>
      </c>
      <c r="L371">
        <v>221.69</v>
      </c>
      <c r="M371" t="s">
        <v>51</v>
      </c>
      <c r="N371" t="s">
        <v>52</v>
      </c>
      <c r="O371" t="s">
        <v>67</v>
      </c>
      <c r="P371" t="s">
        <v>45</v>
      </c>
      <c r="Q371" t="s">
        <v>152</v>
      </c>
    </row>
    <row r="372" spans="1:17" x14ac:dyDescent="0.3">
      <c r="A372" t="s">
        <v>849</v>
      </c>
      <c r="B372" t="s">
        <v>850</v>
      </c>
      <c r="C372" t="s">
        <v>144</v>
      </c>
      <c r="D372" t="s">
        <v>20</v>
      </c>
      <c r="E372" t="s">
        <v>88</v>
      </c>
      <c r="F372">
        <v>2020</v>
      </c>
      <c r="G372" t="s">
        <v>77</v>
      </c>
      <c r="H372">
        <v>188</v>
      </c>
      <c r="I372">
        <v>6.5</v>
      </c>
      <c r="J372">
        <v>778903</v>
      </c>
      <c r="K372">
        <v>870.17</v>
      </c>
      <c r="L372">
        <v>146.82</v>
      </c>
      <c r="M372" t="s">
        <v>78</v>
      </c>
      <c r="N372" t="s">
        <v>109</v>
      </c>
      <c r="O372" t="s">
        <v>199</v>
      </c>
      <c r="P372" t="s">
        <v>26</v>
      </c>
      <c r="Q372" t="s">
        <v>54</v>
      </c>
    </row>
    <row r="373" spans="1:17" x14ac:dyDescent="0.3">
      <c r="A373" t="s">
        <v>851</v>
      </c>
      <c r="B373" t="s">
        <v>852</v>
      </c>
      <c r="C373" t="s">
        <v>39</v>
      </c>
      <c r="D373" t="s">
        <v>72</v>
      </c>
      <c r="E373" t="s">
        <v>41</v>
      </c>
      <c r="F373">
        <v>2024</v>
      </c>
      <c r="G373" t="s">
        <v>96</v>
      </c>
      <c r="H373">
        <v>172</v>
      </c>
      <c r="J373">
        <v>398116</v>
      </c>
      <c r="K373">
        <v>426.1</v>
      </c>
      <c r="L373">
        <v>83.2</v>
      </c>
      <c r="M373" t="s">
        <v>42</v>
      </c>
      <c r="N373" t="s">
        <v>43</v>
      </c>
      <c r="O373" t="s">
        <v>151</v>
      </c>
      <c r="P373" t="s">
        <v>26</v>
      </c>
      <c r="Q373" t="s">
        <v>60</v>
      </c>
    </row>
    <row r="374" spans="1:17" x14ac:dyDescent="0.3">
      <c r="A374" t="s">
        <v>853</v>
      </c>
      <c r="B374" t="s">
        <v>854</v>
      </c>
      <c r="C374" t="s">
        <v>39</v>
      </c>
      <c r="D374" t="s">
        <v>20</v>
      </c>
      <c r="E374" t="s">
        <v>88</v>
      </c>
      <c r="F374">
        <v>2024</v>
      </c>
      <c r="G374" t="s">
        <v>32</v>
      </c>
      <c r="H374">
        <v>110</v>
      </c>
      <c r="I374">
        <v>7.2</v>
      </c>
      <c r="J374">
        <v>926219</v>
      </c>
      <c r="K374">
        <v>284.08999999999997</v>
      </c>
      <c r="L374">
        <v>114.76</v>
      </c>
      <c r="M374" t="s">
        <v>23</v>
      </c>
      <c r="N374" t="s">
        <v>24</v>
      </c>
      <c r="O374" t="s">
        <v>199</v>
      </c>
      <c r="P374" t="s">
        <v>26</v>
      </c>
      <c r="Q374" t="s">
        <v>152</v>
      </c>
    </row>
    <row r="375" spans="1:17" x14ac:dyDescent="0.3">
      <c r="A375" t="s">
        <v>855</v>
      </c>
      <c r="B375" t="s">
        <v>856</v>
      </c>
      <c r="C375" t="s">
        <v>63</v>
      </c>
      <c r="D375" t="s">
        <v>20</v>
      </c>
      <c r="E375" t="s">
        <v>88</v>
      </c>
      <c r="F375">
        <v>2020</v>
      </c>
      <c r="G375" t="s">
        <v>155</v>
      </c>
      <c r="H375">
        <v>162</v>
      </c>
      <c r="I375">
        <v>6.4</v>
      </c>
      <c r="J375">
        <v>209422</v>
      </c>
      <c r="K375">
        <v>747.65</v>
      </c>
      <c r="L375">
        <v>145.06</v>
      </c>
      <c r="M375" t="s">
        <v>23</v>
      </c>
      <c r="N375" t="s">
        <v>52</v>
      </c>
      <c r="O375" t="s">
        <v>245</v>
      </c>
      <c r="P375" t="s">
        <v>26</v>
      </c>
      <c r="Q375" t="s">
        <v>54</v>
      </c>
    </row>
    <row r="376" spans="1:17" x14ac:dyDescent="0.3">
      <c r="A376" t="s">
        <v>857</v>
      </c>
      <c r="B376" t="s">
        <v>858</v>
      </c>
      <c r="C376" t="s">
        <v>39</v>
      </c>
      <c r="D376" t="s">
        <v>87</v>
      </c>
      <c r="E376" t="s">
        <v>82</v>
      </c>
      <c r="F376">
        <v>2015</v>
      </c>
      <c r="G376" t="s">
        <v>32</v>
      </c>
      <c r="H376">
        <v>152</v>
      </c>
      <c r="I376">
        <v>5.7</v>
      </c>
      <c r="J376">
        <v>476547</v>
      </c>
      <c r="K376">
        <v>851.59</v>
      </c>
      <c r="L376">
        <v>207.16</v>
      </c>
      <c r="M376" t="s">
        <v>42</v>
      </c>
      <c r="N376" t="s">
        <v>24</v>
      </c>
      <c r="O376" t="s">
        <v>151</v>
      </c>
      <c r="P376" t="s">
        <v>26</v>
      </c>
      <c r="Q376" t="s">
        <v>68</v>
      </c>
    </row>
    <row r="377" spans="1:17" x14ac:dyDescent="0.3">
      <c r="A377" t="s">
        <v>859</v>
      </c>
      <c r="B377" t="s">
        <v>860</v>
      </c>
      <c r="C377" t="s">
        <v>144</v>
      </c>
      <c r="D377" t="s">
        <v>20</v>
      </c>
      <c r="E377" t="s">
        <v>88</v>
      </c>
      <c r="F377">
        <v>2016</v>
      </c>
      <c r="G377" t="s">
        <v>77</v>
      </c>
      <c r="H377">
        <v>139</v>
      </c>
      <c r="I377">
        <v>5.8</v>
      </c>
      <c r="J377">
        <v>328504</v>
      </c>
      <c r="K377">
        <v>552.24</v>
      </c>
      <c r="L377">
        <v>166.95</v>
      </c>
      <c r="M377" t="s">
        <v>23</v>
      </c>
      <c r="N377" t="s">
        <v>145</v>
      </c>
      <c r="O377" t="s">
        <v>67</v>
      </c>
      <c r="P377" t="s">
        <v>26</v>
      </c>
      <c r="Q377" t="s">
        <v>152</v>
      </c>
    </row>
    <row r="378" spans="1:17" x14ac:dyDescent="0.3">
      <c r="A378" t="s">
        <v>861</v>
      </c>
      <c r="B378" t="s">
        <v>862</v>
      </c>
      <c r="C378" t="s">
        <v>63</v>
      </c>
      <c r="D378" t="s">
        <v>87</v>
      </c>
      <c r="E378" t="s">
        <v>82</v>
      </c>
      <c r="F378">
        <v>2015</v>
      </c>
      <c r="G378" t="s">
        <v>155</v>
      </c>
      <c r="H378">
        <v>123</v>
      </c>
      <c r="I378">
        <v>8</v>
      </c>
      <c r="J378">
        <v>216225</v>
      </c>
      <c r="K378">
        <v>549.48</v>
      </c>
      <c r="L378">
        <v>130.4</v>
      </c>
      <c r="M378" t="s">
        <v>42</v>
      </c>
      <c r="N378" t="s">
        <v>140</v>
      </c>
      <c r="O378" t="s">
        <v>53</v>
      </c>
      <c r="P378" t="s">
        <v>26</v>
      </c>
      <c r="Q378" t="s">
        <v>27</v>
      </c>
    </row>
    <row r="379" spans="1:17" x14ac:dyDescent="0.3">
      <c r="A379" t="s">
        <v>863</v>
      </c>
      <c r="B379" t="s">
        <v>864</v>
      </c>
      <c r="C379" t="s">
        <v>86</v>
      </c>
      <c r="D379" t="s">
        <v>64</v>
      </c>
      <c r="E379" t="s">
        <v>88</v>
      </c>
      <c r="F379">
        <v>2023</v>
      </c>
      <c r="G379" t="s">
        <v>93</v>
      </c>
      <c r="H379">
        <v>148</v>
      </c>
      <c r="I379">
        <v>7.3</v>
      </c>
      <c r="J379">
        <v>584995</v>
      </c>
      <c r="L379">
        <v>181.09</v>
      </c>
      <c r="M379" t="s">
        <v>42</v>
      </c>
      <c r="N379" t="s">
        <v>43</v>
      </c>
      <c r="O379" t="s">
        <v>166</v>
      </c>
      <c r="P379" t="s">
        <v>26</v>
      </c>
      <c r="Q379" t="s">
        <v>27</v>
      </c>
    </row>
    <row r="380" spans="1:17" x14ac:dyDescent="0.3">
      <c r="A380" t="s">
        <v>865</v>
      </c>
      <c r="B380" t="s">
        <v>866</v>
      </c>
      <c r="C380" t="s">
        <v>39</v>
      </c>
      <c r="D380" t="s">
        <v>64</v>
      </c>
      <c r="E380" t="s">
        <v>41</v>
      </c>
      <c r="F380">
        <v>2020</v>
      </c>
      <c r="G380" t="s">
        <v>100</v>
      </c>
      <c r="H380">
        <v>168</v>
      </c>
      <c r="I380">
        <v>7.5</v>
      </c>
      <c r="J380">
        <v>733209</v>
      </c>
      <c r="K380">
        <v>276.57</v>
      </c>
      <c r="L380">
        <v>166.21</v>
      </c>
      <c r="M380" t="s">
        <v>42</v>
      </c>
      <c r="N380" t="s">
        <v>140</v>
      </c>
      <c r="O380" t="s">
        <v>127</v>
      </c>
      <c r="P380" t="s">
        <v>26</v>
      </c>
      <c r="Q380" t="s">
        <v>123</v>
      </c>
    </row>
    <row r="381" spans="1:17" x14ac:dyDescent="0.3">
      <c r="A381" t="s">
        <v>867</v>
      </c>
      <c r="B381" t="s">
        <v>868</v>
      </c>
      <c r="C381" t="s">
        <v>86</v>
      </c>
      <c r="D381" t="s">
        <v>72</v>
      </c>
      <c r="E381" t="s">
        <v>92</v>
      </c>
      <c r="F381">
        <v>2018</v>
      </c>
      <c r="G381" t="s">
        <v>108</v>
      </c>
      <c r="H381">
        <v>151</v>
      </c>
      <c r="I381">
        <v>7.6</v>
      </c>
      <c r="J381">
        <v>146384</v>
      </c>
      <c r="K381">
        <v>178.48</v>
      </c>
      <c r="L381">
        <v>68.69</v>
      </c>
      <c r="M381" t="s">
        <v>42</v>
      </c>
      <c r="N381" t="s">
        <v>43</v>
      </c>
      <c r="O381" t="s">
        <v>120</v>
      </c>
      <c r="P381" t="s">
        <v>26</v>
      </c>
      <c r="Q381" t="s">
        <v>54</v>
      </c>
    </row>
    <row r="382" spans="1:17" x14ac:dyDescent="0.3">
      <c r="A382" t="s">
        <v>869</v>
      </c>
      <c r="B382" t="s">
        <v>870</v>
      </c>
      <c r="C382" t="s">
        <v>39</v>
      </c>
      <c r="D382" t="s">
        <v>72</v>
      </c>
      <c r="E382" t="s">
        <v>41</v>
      </c>
      <c r="F382">
        <v>2019</v>
      </c>
      <c r="G382" t="s">
        <v>22</v>
      </c>
      <c r="H382">
        <v>100</v>
      </c>
      <c r="I382">
        <v>6.6</v>
      </c>
      <c r="J382">
        <v>422860</v>
      </c>
      <c r="K382">
        <v>979.23</v>
      </c>
      <c r="L382">
        <v>235.78</v>
      </c>
      <c r="M382" t="s">
        <v>42</v>
      </c>
      <c r="N382" t="s">
        <v>89</v>
      </c>
      <c r="O382" t="s">
        <v>148</v>
      </c>
      <c r="P382" t="s">
        <v>45</v>
      </c>
      <c r="Q382" t="s">
        <v>152</v>
      </c>
    </row>
    <row r="383" spans="1:17" x14ac:dyDescent="0.3">
      <c r="A383" t="s">
        <v>871</v>
      </c>
      <c r="B383" t="s">
        <v>872</v>
      </c>
      <c r="C383" t="s">
        <v>30</v>
      </c>
      <c r="D383" t="s">
        <v>20</v>
      </c>
      <c r="E383" t="s">
        <v>31</v>
      </c>
      <c r="F383">
        <v>2022</v>
      </c>
      <c r="G383" t="s">
        <v>32</v>
      </c>
      <c r="H383">
        <v>161</v>
      </c>
      <c r="I383">
        <v>7</v>
      </c>
      <c r="J383">
        <v>302899</v>
      </c>
      <c r="K383">
        <v>977.09</v>
      </c>
      <c r="L383">
        <v>177.33</v>
      </c>
      <c r="M383" t="s">
        <v>33</v>
      </c>
      <c r="N383" t="s">
        <v>43</v>
      </c>
      <c r="O383" t="s">
        <v>141</v>
      </c>
      <c r="P383" t="s">
        <v>26</v>
      </c>
      <c r="Q383" t="s">
        <v>68</v>
      </c>
    </row>
    <row r="384" spans="1:17" x14ac:dyDescent="0.3">
      <c r="A384" t="s">
        <v>873</v>
      </c>
      <c r="B384" t="s">
        <v>874</v>
      </c>
      <c r="C384" t="s">
        <v>63</v>
      </c>
      <c r="D384" t="s">
        <v>87</v>
      </c>
      <c r="E384" t="s">
        <v>82</v>
      </c>
      <c r="F384">
        <v>2016</v>
      </c>
      <c r="G384" t="s">
        <v>93</v>
      </c>
      <c r="H384">
        <v>116</v>
      </c>
      <c r="I384">
        <v>7.3</v>
      </c>
      <c r="J384">
        <v>542248</v>
      </c>
      <c r="K384">
        <v>1063.55</v>
      </c>
      <c r="L384">
        <v>178.96</v>
      </c>
      <c r="M384" t="s">
        <v>42</v>
      </c>
      <c r="N384" t="s">
        <v>119</v>
      </c>
      <c r="O384" t="s">
        <v>25</v>
      </c>
      <c r="P384" t="s">
        <v>26</v>
      </c>
      <c r="Q384" t="s">
        <v>27</v>
      </c>
    </row>
    <row r="385" spans="1:17" x14ac:dyDescent="0.3">
      <c r="A385" t="s">
        <v>875</v>
      </c>
      <c r="B385" t="s">
        <v>876</v>
      </c>
      <c r="C385" t="s">
        <v>39</v>
      </c>
      <c r="D385" t="s">
        <v>64</v>
      </c>
      <c r="E385" t="s">
        <v>192</v>
      </c>
      <c r="F385">
        <v>2023</v>
      </c>
      <c r="G385" t="s">
        <v>32</v>
      </c>
      <c r="H385">
        <v>119</v>
      </c>
      <c r="I385">
        <v>6.5</v>
      </c>
      <c r="J385">
        <v>495958</v>
      </c>
      <c r="K385">
        <v>280.62</v>
      </c>
      <c r="L385">
        <v>62.45</v>
      </c>
      <c r="M385" t="s">
        <v>42</v>
      </c>
      <c r="N385" t="s">
        <v>179</v>
      </c>
      <c r="O385" t="s">
        <v>97</v>
      </c>
      <c r="P385" t="s">
        <v>26</v>
      </c>
      <c r="Q385" t="s">
        <v>68</v>
      </c>
    </row>
    <row r="386" spans="1:17" x14ac:dyDescent="0.3">
      <c r="A386" t="s">
        <v>877</v>
      </c>
      <c r="B386" t="s">
        <v>878</v>
      </c>
      <c r="C386" t="s">
        <v>130</v>
      </c>
      <c r="D386" t="s">
        <v>20</v>
      </c>
      <c r="E386" t="s">
        <v>41</v>
      </c>
      <c r="F386">
        <v>2016</v>
      </c>
      <c r="G386" t="s">
        <v>155</v>
      </c>
      <c r="H386">
        <v>129</v>
      </c>
      <c r="I386">
        <v>5.7</v>
      </c>
      <c r="J386">
        <v>644312</v>
      </c>
      <c r="K386">
        <v>559.28</v>
      </c>
      <c r="L386">
        <v>229.81</v>
      </c>
      <c r="M386" t="s">
        <v>51</v>
      </c>
      <c r="N386" t="s">
        <v>145</v>
      </c>
      <c r="O386" t="s">
        <v>136</v>
      </c>
      <c r="P386" t="s">
        <v>26</v>
      </c>
      <c r="Q386" t="s">
        <v>68</v>
      </c>
    </row>
    <row r="387" spans="1:17" x14ac:dyDescent="0.3">
      <c r="A387" t="s">
        <v>879</v>
      </c>
      <c r="B387" t="s">
        <v>880</v>
      </c>
      <c r="C387" t="s">
        <v>19</v>
      </c>
      <c r="D387" t="s">
        <v>87</v>
      </c>
      <c r="E387" t="s">
        <v>192</v>
      </c>
      <c r="F387">
        <v>2021</v>
      </c>
      <c r="G387" t="s">
        <v>113</v>
      </c>
      <c r="H387">
        <v>180</v>
      </c>
      <c r="I387">
        <v>6.5</v>
      </c>
      <c r="J387">
        <v>704750</v>
      </c>
      <c r="K387">
        <v>1452.11</v>
      </c>
      <c r="L387">
        <v>247.08</v>
      </c>
      <c r="M387" t="s">
        <v>42</v>
      </c>
      <c r="N387" t="s">
        <v>133</v>
      </c>
      <c r="O387" t="s">
        <v>59</v>
      </c>
      <c r="P387" t="s">
        <v>45</v>
      </c>
      <c r="Q387" t="s">
        <v>27</v>
      </c>
    </row>
    <row r="388" spans="1:17" x14ac:dyDescent="0.3">
      <c r="A388" t="s">
        <v>881</v>
      </c>
      <c r="B388" t="s">
        <v>882</v>
      </c>
      <c r="C388" t="s">
        <v>39</v>
      </c>
      <c r="D388" t="s">
        <v>81</v>
      </c>
      <c r="E388" t="s">
        <v>82</v>
      </c>
      <c r="F388">
        <v>2019</v>
      </c>
      <c r="G388" t="s">
        <v>77</v>
      </c>
      <c r="H388">
        <v>180</v>
      </c>
      <c r="J388">
        <v>436486</v>
      </c>
      <c r="K388">
        <v>76.790000000000006</v>
      </c>
      <c r="L388">
        <v>45.56</v>
      </c>
      <c r="M388" t="s">
        <v>42</v>
      </c>
      <c r="N388" t="s">
        <v>101</v>
      </c>
      <c r="O388" t="s">
        <v>97</v>
      </c>
      <c r="P388" t="s">
        <v>26</v>
      </c>
      <c r="Q388" t="s">
        <v>68</v>
      </c>
    </row>
    <row r="389" spans="1:17" x14ac:dyDescent="0.3">
      <c r="A389" t="s">
        <v>883</v>
      </c>
      <c r="B389" t="s">
        <v>884</v>
      </c>
      <c r="C389" t="s">
        <v>130</v>
      </c>
      <c r="D389" t="s">
        <v>20</v>
      </c>
      <c r="E389" t="s">
        <v>41</v>
      </c>
      <c r="F389">
        <v>2020</v>
      </c>
      <c r="G389" t="s">
        <v>22</v>
      </c>
      <c r="H389">
        <v>97</v>
      </c>
      <c r="I389">
        <v>7.7</v>
      </c>
      <c r="J389">
        <v>432868</v>
      </c>
      <c r="K389">
        <v>27.16</v>
      </c>
      <c r="L389">
        <v>22.32</v>
      </c>
      <c r="M389" t="s">
        <v>23</v>
      </c>
      <c r="N389" t="s">
        <v>89</v>
      </c>
      <c r="O389" t="s">
        <v>151</v>
      </c>
      <c r="P389" t="s">
        <v>26</v>
      </c>
      <c r="Q389" t="s">
        <v>152</v>
      </c>
    </row>
    <row r="390" spans="1:17" x14ac:dyDescent="0.3">
      <c r="A390" t="s">
        <v>885</v>
      </c>
      <c r="B390" t="s">
        <v>886</v>
      </c>
      <c r="C390" t="s">
        <v>39</v>
      </c>
      <c r="D390" t="s">
        <v>20</v>
      </c>
      <c r="E390" t="s">
        <v>31</v>
      </c>
      <c r="F390">
        <v>2020</v>
      </c>
      <c r="G390" t="s">
        <v>126</v>
      </c>
      <c r="H390">
        <v>187</v>
      </c>
      <c r="I390">
        <v>6.8</v>
      </c>
      <c r="J390">
        <v>787125</v>
      </c>
      <c r="K390">
        <v>1224.75</v>
      </c>
      <c r="L390">
        <v>170.49</v>
      </c>
      <c r="M390" t="s">
        <v>23</v>
      </c>
      <c r="N390" t="s">
        <v>119</v>
      </c>
      <c r="O390" t="s">
        <v>59</v>
      </c>
      <c r="P390" t="s">
        <v>26</v>
      </c>
      <c r="Q390" t="s">
        <v>36</v>
      </c>
    </row>
    <row r="391" spans="1:17" x14ac:dyDescent="0.3">
      <c r="A391" t="s">
        <v>887</v>
      </c>
      <c r="B391" t="s">
        <v>888</v>
      </c>
      <c r="C391" t="s">
        <v>116</v>
      </c>
      <c r="D391" t="s">
        <v>20</v>
      </c>
      <c r="E391" t="s">
        <v>41</v>
      </c>
      <c r="F391">
        <v>2023</v>
      </c>
      <c r="G391" t="s">
        <v>32</v>
      </c>
      <c r="H391">
        <v>179</v>
      </c>
      <c r="I391">
        <v>6.9</v>
      </c>
      <c r="J391">
        <v>688354</v>
      </c>
      <c r="L391">
        <v>106</v>
      </c>
      <c r="M391" t="s">
        <v>33</v>
      </c>
      <c r="N391" t="s">
        <v>66</v>
      </c>
      <c r="O391" t="s">
        <v>136</v>
      </c>
      <c r="P391" t="s">
        <v>26</v>
      </c>
      <c r="Q391" t="s">
        <v>68</v>
      </c>
    </row>
    <row r="392" spans="1:17" x14ac:dyDescent="0.3">
      <c r="A392" t="s">
        <v>889</v>
      </c>
      <c r="B392" t="s">
        <v>890</v>
      </c>
      <c r="C392" t="s">
        <v>86</v>
      </c>
      <c r="D392" t="s">
        <v>87</v>
      </c>
      <c r="E392" t="s">
        <v>82</v>
      </c>
      <c r="F392">
        <v>2018</v>
      </c>
      <c r="G392" t="s">
        <v>96</v>
      </c>
      <c r="H392">
        <v>141</v>
      </c>
      <c r="I392">
        <v>7.2</v>
      </c>
      <c r="J392">
        <v>848072</v>
      </c>
      <c r="K392">
        <v>967.48</v>
      </c>
      <c r="L392">
        <v>215.61</v>
      </c>
      <c r="M392" t="s">
        <v>42</v>
      </c>
      <c r="N392" t="s">
        <v>145</v>
      </c>
      <c r="O392" t="s">
        <v>127</v>
      </c>
      <c r="P392" t="s">
        <v>26</v>
      </c>
      <c r="Q392" t="s">
        <v>152</v>
      </c>
    </row>
    <row r="393" spans="1:17" x14ac:dyDescent="0.3">
      <c r="A393" t="s">
        <v>891</v>
      </c>
      <c r="B393" t="s">
        <v>892</v>
      </c>
      <c r="C393" t="s">
        <v>30</v>
      </c>
      <c r="D393" t="s">
        <v>20</v>
      </c>
      <c r="E393" t="s">
        <v>31</v>
      </c>
      <c r="F393">
        <v>2020</v>
      </c>
      <c r="G393" t="s">
        <v>77</v>
      </c>
      <c r="H393">
        <v>189</v>
      </c>
      <c r="I393">
        <v>6.8</v>
      </c>
      <c r="J393">
        <v>456201</v>
      </c>
      <c r="K393">
        <v>696.5</v>
      </c>
      <c r="L393">
        <v>105.3</v>
      </c>
      <c r="M393" t="s">
        <v>23</v>
      </c>
      <c r="N393" t="s">
        <v>24</v>
      </c>
      <c r="O393" t="s">
        <v>35</v>
      </c>
      <c r="P393" t="s">
        <v>26</v>
      </c>
      <c r="Q393" t="s">
        <v>152</v>
      </c>
    </row>
    <row r="394" spans="1:17" x14ac:dyDescent="0.3">
      <c r="A394" t="s">
        <v>893</v>
      </c>
      <c r="B394" t="s">
        <v>894</v>
      </c>
      <c r="C394" t="s">
        <v>86</v>
      </c>
      <c r="D394" t="s">
        <v>215</v>
      </c>
      <c r="E394" t="s">
        <v>192</v>
      </c>
      <c r="F394">
        <v>2020</v>
      </c>
      <c r="G394" t="s">
        <v>96</v>
      </c>
      <c r="H394">
        <v>144</v>
      </c>
      <c r="I394">
        <v>7.6</v>
      </c>
      <c r="J394">
        <v>237374</v>
      </c>
      <c r="K394">
        <v>1216.99</v>
      </c>
      <c r="L394">
        <v>215.31</v>
      </c>
      <c r="M394" t="s">
        <v>484</v>
      </c>
      <c r="N394" t="s">
        <v>119</v>
      </c>
      <c r="O394" t="s">
        <v>127</v>
      </c>
      <c r="P394" t="s">
        <v>26</v>
      </c>
      <c r="Q394" t="s">
        <v>152</v>
      </c>
    </row>
    <row r="395" spans="1:17" x14ac:dyDescent="0.3">
      <c r="A395" t="s">
        <v>895</v>
      </c>
      <c r="B395" t="s">
        <v>896</v>
      </c>
      <c r="C395" t="s">
        <v>112</v>
      </c>
      <c r="D395" t="s">
        <v>64</v>
      </c>
      <c r="E395" t="s">
        <v>92</v>
      </c>
      <c r="F395">
        <v>2015</v>
      </c>
      <c r="G395" t="s">
        <v>155</v>
      </c>
      <c r="H395">
        <v>189</v>
      </c>
      <c r="I395">
        <v>7</v>
      </c>
      <c r="J395">
        <v>582342</v>
      </c>
      <c r="K395">
        <v>399.91</v>
      </c>
      <c r="L395">
        <v>76.25</v>
      </c>
      <c r="M395" t="s">
        <v>42</v>
      </c>
      <c r="N395" t="s">
        <v>140</v>
      </c>
      <c r="O395" t="s">
        <v>199</v>
      </c>
      <c r="P395" t="s">
        <v>26</v>
      </c>
      <c r="Q395" t="s">
        <v>123</v>
      </c>
    </row>
    <row r="396" spans="1:17" x14ac:dyDescent="0.3">
      <c r="A396" t="s">
        <v>897</v>
      </c>
      <c r="B396" t="s">
        <v>898</v>
      </c>
      <c r="C396" t="s">
        <v>116</v>
      </c>
      <c r="D396" t="s">
        <v>87</v>
      </c>
      <c r="E396" t="s">
        <v>41</v>
      </c>
      <c r="F396">
        <v>2018</v>
      </c>
      <c r="G396" t="s">
        <v>126</v>
      </c>
      <c r="H396">
        <v>129</v>
      </c>
      <c r="I396">
        <v>6.4</v>
      </c>
      <c r="J396">
        <v>10860</v>
      </c>
      <c r="K396">
        <v>192.61</v>
      </c>
      <c r="L396">
        <v>237.85</v>
      </c>
      <c r="M396" t="s">
        <v>42</v>
      </c>
      <c r="N396" t="s">
        <v>119</v>
      </c>
      <c r="O396" t="s">
        <v>245</v>
      </c>
      <c r="P396" t="s">
        <v>26</v>
      </c>
      <c r="Q396" t="s">
        <v>36</v>
      </c>
    </row>
    <row r="397" spans="1:17" x14ac:dyDescent="0.3">
      <c r="A397" t="s">
        <v>899</v>
      </c>
      <c r="B397" t="s">
        <v>900</v>
      </c>
      <c r="C397" t="s">
        <v>86</v>
      </c>
      <c r="D397" t="s">
        <v>20</v>
      </c>
      <c r="E397" t="s">
        <v>41</v>
      </c>
      <c r="F397">
        <v>2024</v>
      </c>
      <c r="G397" t="s">
        <v>93</v>
      </c>
      <c r="H397">
        <v>158</v>
      </c>
      <c r="I397">
        <v>7.8</v>
      </c>
      <c r="J397">
        <v>47172</v>
      </c>
      <c r="K397">
        <v>47.16</v>
      </c>
      <c r="L397">
        <v>11.93</v>
      </c>
      <c r="M397" t="s">
        <v>51</v>
      </c>
      <c r="N397" t="s">
        <v>109</v>
      </c>
      <c r="O397" t="s">
        <v>97</v>
      </c>
      <c r="P397" t="s">
        <v>26</v>
      </c>
      <c r="Q397" t="s">
        <v>27</v>
      </c>
    </row>
    <row r="398" spans="1:17" x14ac:dyDescent="0.3">
      <c r="A398" t="s">
        <v>901</v>
      </c>
      <c r="B398" t="s">
        <v>902</v>
      </c>
      <c r="C398" t="s">
        <v>63</v>
      </c>
      <c r="D398" t="s">
        <v>20</v>
      </c>
      <c r="E398" t="s">
        <v>41</v>
      </c>
      <c r="F398">
        <v>2015</v>
      </c>
      <c r="G398" t="s">
        <v>50</v>
      </c>
      <c r="H398">
        <v>169</v>
      </c>
      <c r="I398">
        <v>6.7</v>
      </c>
      <c r="J398">
        <v>201081</v>
      </c>
      <c r="K398">
        <v>259.85000000000002</v>
      </c>
      <c r="L398">
        <v>76.12</v>
      </c>
      <c r="M398" t="s">
        <v>51</v>
      </c>
      <c r="N398" t="s">
        <v>145</v>
      </c>
      <c r="O398" t="s">
        <v>74</v>
      </c>
      <c r="P398" t="s">
        <v>26</v>
      </c>
      <c r="Q398" t="s">
        <v>152</v>
      </c>
    </row>
    <row r="399" spans="1:17" x14ac:dyDescent="0.3">
      <c r="A399" t="s">
        <v>903</v>
      </c>
      <c r="B399" t="s">
        <v>904</v>
      </c>
      <c r="C399" t="s">
        <v>39</v>
      </c>
      <c r="D399" t="s">
        <v>20</v>
      </c>
      <c r="E399" t="s">
        <v>31</v>
      </c>
      <c r="F399">
        <v>2016</v>
      </c>
      <c r="G399" t="s">
        <v>96</v>
      </c>
      <c r="H399">
        <v>156</v>
      </c>
      <c r="I399">
        <v>8</v>
      </c>
      <c r="J399">
        <v>62406</v>
      </c>
      <c r="K399">
        <v>105.01</v>
      </c>
      <c r="L399">
        <v>14.92</v>
      </c>
      <c r="M399" t="s">
        <v>33</v>
      </c>
      <c r="N399" t="s">
        <v>66</v>
      </c>
      <c r="O399" t="s">
        <v>74</v>
      </c>
      <c r="P399" t="s">
        <v>45</v>
      </c>
      <c r="Q399" t="s">
        <v>123</v>
      </c>
    </row>
    <row r="400" spans="1:17" x14ac:dyDescent="0.3">
      <c r="A400" t="s">
        <v>905</v>
      </c>
      <c r="B400" t="s">
        <v>906</v>
      </c>
      <c r="C400" t="s">
        <v>30</v>
      </c>
      <c r="D400" t="s">
        <v>20</v>
      </c>
      <c r="E400" t="s">
        <v>31</v>
      </c>
      <c r="F400">
        <v>2015</v>
      </c>
      <c r="G400" t="s">
        <v>108</v>
      </c>
      <c r="H400">
        <v>179</v>
      </c>
      <c r="I400">
        <v>7.2</v>
      </c>
      <c r="J400">
        <v>569332</v>
      </c>
      <c r="K400">
        <v>49.67</v>
      </c>
      <c r="L400">
        <v>17.12</v>
      </c>
      <c r="M400" t="s">
        <v>51</v>
      </c>
      <c r="N400" t="s">
        <v>83</v>
      </c>
      <c r="O400" t="s">
        <v>67</v>
      </c>
      <c r="P400" t="s">
        <v>45</v>
      </c>
      <c r="Q400" t="s">
        <v>68</v>
      </c>
    </row>
    <row r="401" spans="1:17" x14ac:dyDescent="0.3">
      <c r="A401" t="s">
        <v>907</v>
      </c>
      <c r="B401" t="s">
        <v>908</v>
      </c>
      <c r="C401" t="s">
        <v>130</v>
      </c>
      <c r="D401" t="s">
        <v>20</v>
      </c>
      <c r="E401" t="s">
        <v>139</v>
      </c>
      <c r="F401">
        <v>2025</v>
      </c>
      <c r="G401" t="s">
        <v>50</v>
      </c>
      <c r="H401">
        <v>106</v>
      </c>
      <c r="I401">
        <v>6.2</v>
      </c>
      <c r="J401">
        <v>853847</v>
      </c>
      <c r="K401">
        <v>63.86</v>
      </c>
      <c r="L401">
        <v>53.32</v>
      </c>
      <c r="M401" t="s">
        <v>78</v>
      </c>
      <c r="N401" t="s">
        <v>101</v>
      </c>
      <c r="O401" t="s">
        <v>44</v>
      </c>
      <c r="P401" t="s">
        <v>45</v>
      </c>
      <c r="Q401" t="s">
        <v>60</v>
      </c>
    </row>
    <row r="402" spans="1:17" x14ac:dyDescent="0.3">
      <c r="A402" t="s">
        <v>909</v>
      </c>
      <c r="B402" t="s">
        <v>910</v>
      </c>
      <c r="C402" t="s">
        <v>39</v>
      </c>
      <c r="D402" t="s">
        <v>40</v>
      </c>
      <c r="E402" t="s">
        <v>41</v>
      </c>
      <c r="F402">
        <v>2019</v>
      </c>
      <c r="G402" t="s">
        <v>32</v>
      </c>
      <c r="H402">
        <v>87</v>
      </c>
      <c r="I402">
        <v>6.1</v>
      </c>
      <c r="J402">
        <v>782832</v>
      </c>
      <c r="K402">
        <v>72.25</v>
      </c>
      <c r="L402">
        <v>56.04</v>
      </c>
      <c r="M402" t="s">
        <v>42</v>
      </c>
      <c r="N402" t="s">
        <v>34</v>
      </c>
      <c r="O402" t="s">
        <v>148</v>
      </c>
      <c r="P402" t="s">
        <v>45</v>
      </c>
      <c r="Q402" t="s">
        <v>152</v>
      </c>
    </row>
    <row r="403" spans="1:17" x14ac:dyDescent="0.3">
      <c r="A403" t="s">
        <v>911</v>
      </c>
      <c r="B403" t="s">
        <v>912</v>
      </c>
      <c r="C403" t="s">
        <v>86</v>
      </c>
      <c r="D403" t="s">
        <v>72</v>
      </c>
      <c r="E403" t="s">
        <v>88</v>
      </c>
      <c r="F403">
        <v>2016</v>
      </c>
      <c r="G403" t="s">
        <v>32</v>
      </c>
      <c r="H403">
        <v>133</v>
      </c>
      <c r="I403">
        <v>6.1</v>
      </c>
      <c r="J403">
        <v>915893</v>
      </c>
      <c r="K403">
        <v>365.13</v>
      </c>
      <c r="L403">
        <v>157.13</v>
      </c>
      <c r="M403" t="s">
        <v>42</v>
      </c>
      <c r="N403" t="s">
        <v>83</v>
      </c>
      <c r="O403" t="s">
        <v>105</v>
      </c>
      <c r="P403" t="s">
        <v>26</v>
      </c>
      <c r="Q403" t="s">
        <v>54</v>
      </c>
    </row>
    <row r="404" spans="1:17" x14ac:dyDescent="0.3">
      <c r="A404" t="s">
        <v>913</v>
      </c>
      <c r="B404" t="s">
        <v>914</v>
      </c>
      <c r="C404" t="s">
        <v>63</v>
      </c>
      <c r="D404" t="s">
        <v>20</v>
      </c>
      <c r="E404" t="s">
        <v>88</v>
      </c>
      <c r="F404">
        <v>2024</v>
      </c>
      <c r="G404" t="s">
        <v>108</v>
      </c>
      <c r="H404">
        <v>168</v>
      </c>
      <c r="I404">
        <v>7</v>
      </c>
      <c r="J404">
        <v>338702</v>
      </c>
      <c r="K404">
        <v>441.41</v>
      </c>
      <c r="L404">
        <v>117.32</v>
      </c>
      <c r="M404" t="s">
        <v>23</v>
      </c>
      <c r="N404" t="s">
        <v>101</v>
      </c>
      <c r="O404" t="s">
        <v>67</v>
      </c>
      <c r="P404" t="s">
        <v>26</v>
      </c>
      <c r="Q404" t="s">
        <v>123</v>
      </c>
    </row>
    <row r="405" spans="1:17" x14ac:dyDescent="0.3">
      <c r="A405" t="s">
        <v>915</v>
      </c>
      <c r="B405" t="s">
        <v>916</v>
      </c>
      <c r="C405" t="s">
        <v>116</v>
      </c>
      <c r="D405" t="s">
        <v>87</v>
      </c>
      <c r="E405" t="s">
        <v>82</v>
      </c>
      <c r="F405">
        <v>2023</v>
      </c>
      <c r="G405" t="s">
        <v>126</v>
      </c>
      <c r="H405">
        <v>179</v>
      </c>
      <c r="I405">
        <v>7.5</v>
      </c>
      <c r="J405">
        <v>927407</v>
      </c>
      <c r="K405">
        <v>694.05</v>
      </c>
      <c r="L405">
        <v>132.58000000000001</v>
      </c>
      <c r="M405" t="s">
        <v>42</v>
      </c>
      <c r="N405" t="s">
        <v>83</v>
      </c>
      <c r="O405" t="s">
        <v>166</v>
      </c>
      <c r="P405" t="s">
        <v>26</v>
      </c>
      <c r="Q405" t="s">
        <v>36</v>
      </c>
    </row>
    <row r="406" spans="1:17" x14ac:dyDescent="0.3">
      <c r="A406" t="s">
        <v>917</v>
      </c>
      <c r="B406" t="s">
        <v>918</v>
      </c>
      <c r="C406" t="s">
        <v>39</v>
      </c>
      <c r="D406" t="s">
        <v>20</v>
      </c>
      <c r="E406" t="s">
        <v>192</v>
      </c>
      <c r="F406">
        <v>2019</v>
      </c>
      <c r="G406" t="s">
        <v>32</v>
      </c>
      <c r="H406">
        <v>111</v>
      </c>
      <c r="I406">
        <v>6.9</v>
      </c>
      <c r="J406">
        <v>503910</v>
      </c>
      <c r="K406">
        <v>624.44000000000005</v>
      </c>
      <c r="L406">
        <v>88.5</v>
      </c>
      <c r="M406" t="s">
        <v>78</v>
      </c>
      <c r="N406" t="s">
        <v>140</v>
      </c>
      <c r="O406" t="s">
        <v>199</v>
      </c>
      <c r="P406" t="s">
        <v>45</v>
      </c>
      <c r="Q406" t="s">
        <v>123</v>
      </c>
    </row>
    <row r="407" spans="1:17" x14ac:dyDescent="0.3">
      <c r="A407" t="s">
        <v>919</v>
      </c>
      <c r="B407" t="s">
        <v>920</v>
      </c>
      <c r="C407" t="s">
        <v>19</v>
      </c>
      <c r="D407" t="s">
        <v>40</v>
      </c>
      <c r="E407" t="s">
        <v>41</v>
      </c>
      <c r="F407">
        <v>2023</v>
      </c>
      <c r="G407" t="s">
        <v>32</v>
      </c>
      <c r="H407">
        <v>92</v>
      </c>
      <c r="I407">
        <v>8.8000000000000007</v>
      </c>
      <c r="J407">
        <v>801964</v>
      </c>
      <c r="K407">
        <v>565.49</v>
      </c>
      <c r="L407">
        <v>249.11</v>
      </c>
      <c r="M407" t="s">
        <v>42</v>
      </c>
      <c r="N407" t="s">
        <v>34</v>
      </c>
      <c r="O407" t="s">
        <v>120</v>
      </c>
      <c r="P407" t="s">
        <v>26</v>
      </c>
      <c r="Q407" t="s">
        <v>36</v>
      </c>
    </row>
    <row r="408" spans="1:17" x14ac:dyDescent="0.3">
      <c r="A408" t="s">
        <v>921</v>
      </c>
      <c r="B408" t="s">
        <v>922</v>
      </c>
      <c r="C408" t="s">
        <v>116</v>
      </c>
      <c r="D408" t="s">
        <v>20</v>
      </c>
      <c r="E408" t="s">
        <v>31</v>
      </c>
      <c r="F408">
        <v>2015</v>
      </c>
      <c r="G408" t="s">
        <v>50</v>
      </c>
      <c r="H408">
        <v>145</v>
      </c>
      <c r="I408">
        <v>7.2</v>
      </c>
      <c r="J408">
        <v>46449</v>
      </c>
      <c r="K408">
        <v>1177.0899999999999</v>
      </c>
      <c r="L408">
        <v>159.65</v>
      </c>
      <c r="M408" t="s">
        <v>78</v>
      </c>
      <c r="N408" t="s">
        <v>24</v>
      </c>
      <c r="O408" t="s">
        <v>35</v>
      </c>
      <c r="P408" t="s">
        <v>26</v>
      </c>
      <c r="Q408" t="s">
        <v>68</v>
      </c>
    </row>
    <row r="409" spans="1:17" x14ac:dyDescent="0.3">
      <c r="A409" t="s">
        <v>923</v>
      </c>
      <c r="B409" t="s">
        <v>924</v>
      </c>
      <c r="C409" t="s">
        <v>116</v>
      </c>
      <c r="D409" t="s">
        <v>64</v>
      </c>
      <c r="E409" t="s">
        <v>88</v>
      </c>
      <c r="F409">
        <v>2015</v>
      </c>
      <c r="G409" t="s">
        <v>96</v>
      </c>
      <c r="H409">
        <v>104</v>
      </c>
      <c r="I409">
        <v>7.8</v>
      </c>
      <c r="J409">
        <v>658724</v>
      </c>
      <c r="K409">
        <v>223.37</v>
      </c>
      <c r="L409">
        <v>41.68</v>
      </c>
      <c r="M409" t="s">
        <v>42</v>
      </c>
      <c r="N409" t="s">
        <v>109</v>
      </c>
      <c r="O409" t="s">
        <v>166</v>
      </c>
      <c r="P409" t="s">
        <v>45</v>
      </c>
      <c r="Q409" t="s">
        <v>27</v>
      </c>
    </row>
    <row r="410" spans="1:17" x14ac:dyDescent="0.3">
      <c r="A410" t="s">
        <v>925</v>
      </c>
      <c r="B410" t="s">
        <v>926</v>
      </c>
      <c r="C410" t="s">
        <v>39</v>
      </c>
      <c r="D410" t="s">
        <v>20</v>
      </c>
      <c r="E410" t="s">
        <v>41</v>
      </c>
      <c r="F410">
        <v>2020</v>
      </c>
      <c r="G410" t="s">
        <v>113</v>
      </c>
      <c r="H410">
        <v>141</v>
      </c>
      <c r="I410">
        <v>6.7</v>
      </c>
      <c r="J410">
        <v>381103</v>
      </c>
      <c r="K410">
        <v>143.69999999999999</v>
      </c>
      <c r="L410">
        <v>26.64</v>
      </c>
      <c r="M410" t="s">
        <v>78</v>
      </c>
      <c r="N410" t="s">
        <v>73</v>
      </c>
      <c r="O410" t="s">
        <v>166</v>
      </c>
      <c r="P410" t="s">
        <v>26</v>
      </c>
      <c r="Q410" t="s">
        <v>36</v>
      </c>
    </row>
    <row r="411" spans="1:17" x14ac:dyDescent="0.3">
      <c r="A411" t="s">
        <v>927</v>
      </c>
      <c r="B411" t="s">
        <v>928</v>
      </c>
      <c r="C411" t="s">
        <v>39</v>
      </c>
      <c r="D411" t="s">
        <v>40</v>
      </c>
      <c r="E411" t="s">
        <v>41</v>
      </c>
      <c r="F411">
        <v>2021</v>
      </c>
      <c r="G411" t="s">
        <v>32</v>
      </c>
      <c r="H411">
        <v>90</v>
      </c>
      <c r="I411">
        <v>6.1</v>
      </c>
      <c r="J411">
        <v>585591</v>
      </c>
      <c r="K411">
        <v>581.22</v>
      </c>
      <c r="L411">
        <v>98.07</v>
      </c>
      <c r="M411" t="s">
        <v>42</v>
      </c>
      <c r="N411" t="s">
        <v>179</v>
      </c>
      <c r="O411" t="s">
        <v>245</v>
      </c>
      <c r="P411" t="s">
        <v>26</v>
      </c>
      <c r="Q411" t="s">
        <v>27</v>
      </c>
    </row>
    <row r="412" spans="1:17" x14ac:dyDescent="0.3">
      <c r="A412" t="s">
        <v>929</v>
      </c>
      <c r="B412" t="s">
        <v>930</v>
      </c>
      <c r="C412" t="s">
        <v>48</v>
      </c>
      <c r="D412" t="s">
        <v>20</v>
      </c>
      <c r="E412" t="s">
        <v>41</v>
      </c>
      <c r="F412">
        <v>2025</v>
      </c>
      <c r="G412" t="s">
        <v>93</v>
      </c>
      <c r="H412">
        <v>87</v>
      </c>
      <c r="I412">
        <v>5.7</v>
      </c>
      <c r="J412">
        <v>30046</v>
      </c>
      <c r="K412">
        <v>984.23</v>
      </c>
      <c r="L412">
        <v>222.8</v>
      </c>
      <c r="M412" t="s">
        <v>78</v>
      </c>
      <c r="N412" t="s">
        <v>179</v>
      </c>
      <c r="O412" t="s">
        <v>245</v>
      </c>
      <c r="P412" t="s">
        <v>26</v>
      </c>
      <c r="Q412" t="s">
        <v>60</v>
      </c>
    </row>
    <row r="413" spans="1:17" x14ac:dyDescent="0.3">
      <c r="A413" t="s">
        <v>931</v>
      </c>
      <c r="B413" t="s">
        <v>932</v>
      </c>
      <c r="C413" t="s">
        <v>116</v>
      </c>
      <c r="D413" t="s">
        <v>64</v>
      </c>
      <c r="E413" t="s">
        <v>92</v>
      </c>
      <c r="F413">
        <v>2016</v>
      </c>
      <c r="G413" t="s">
        <v>93</v>
      </c>
      <c r="H413">
        <v>110</v>
      </c>
      <c r="I413">
        <v>6.4</v>
      </c>
      <c r="J413">
        <v>747878</v>
      </c>
      <c r="L413">
        <v>7.33</v>
      </c>
      <c r="M413" t="s">
        <v>42</v>
      </c>
      <c r="N413" t="s">
        <v>34</v>
      </c>
      <c r="O413" t="s">
        <v>67</v>
      </c>
      <c r="P413" t="s">
        <v>26</v>
      </c>
      <c r="Q413" t="s">
        <v>123</v>
      </c>
    </row>
    <row r="414" spans="1:17" x14ac:dyDescent="0.3">
      <c r="A414" t="s">
        <v>933</v>
      </c>
      <c r="B414" t="s">
        <v>934</v>
      </c>
      <c r="C414" t="s">
        <v>144</v>
      </c>
      <c r="D414" t="s">
        <v>215</v>
      </c>
      <c r="E414" t="s">
        <v>41</v>
      </c>
      <c r="F414">
        <v>2015</v>
      </c>
      <c r="G414" t="s">
        <v>77</v>
      </c>
      <c r="H414">
        <v>95</v>
      </c>
      <c r="I414">
        <v>7.8</v>
      </c>
      <c r="J414">
        <v>885322</v>
      </c>
      <c r="K414">
        <v>334.66</v>
      </c>
      <c r="L414">
        <v>188.14</v>
      </c>
      <c r="M414" t="s">
        <v>484</v>
      </c>
      <c r="N414" t="s">
        <v>52</v>
      </c>
      <c r="O414" t="s">
        <v>166</v>
      </c>
      <c r="P414" t="s">
        <v>26</v>
      </c>
      <c r="Q414" t="s">
        <v>60</v>
      </c>
    </row>
    <row r="415" spans="1:17" x14ac:dyDescent="0.3">
      <c r="A415" t="s">
        <v>935</v>
      </c>
      <c r="B415" t="s">
        <v>936</v>
      </c>
      <c r="C415" t="s">
        <v>86</v>
      </c>
      <c r="D415" t="s">
        <v>87</v>
      </c>
      <c r="E415" t="s">
        <v>82</v>
      </c>
      <c r="F415">
        <v>2021</v>
      </c>
      <c r="G415" t="s">
        <v>50</v>
      </c>
      <c r="H415">
        <v>131</v>
      </c>
      <c r="I415">
        <v>6.8</v>
      </c>
      <c r="J415">
        <v>366027</v>
      </c>
      <c r="K415">
        <v>153.05000000000001</v>
      </c>
      <c r="L415">
        <v>49.24</v>
      </c>
      <c r="M415" t="s">
        <v>42</v>
      </c>
      <c r="N415" t="s">
        <v>52</v>
      </c>
      <c r="O415" t="s">
        <v>245</v>
      </c>
      <c r="P415" t="s">
        <v>26</v>
      </c>
      <c r="Q415" t="s">
        <v>54</v>
      </c>
    </row>
    <row r="416" spans="1:17" x14ac:dyDescent="0.3">
      <c r="A416" t="s">
        <v>937</v>
      </c>
      <c r="B416" t="s">
        <v>938</v>
      </c>
      <c r="C416" t="s">
        <v>30</v>
      </c>
      <c r="D416" t="s">
        <v>20</v>
      </c>
      <c r="E416" t="s">
        <v>88</v>
      </c>
      <c r="F416">
        <v>2022</v>
      </c>
      <c r="G416" t="s">
        <v>96</v>
      </c>
      <c r="H416">
        <v>95</v>
      </c>
      <c r="I416">
        <v>7.1</v>
      </c>
      <c r="J416">
        <v>338558</v>
      </c>
      <c r="K416">
        <v>189.56</v>
      </c>
      <c r="L416">
        <v>152.86000000000001</v>
      </c>
      <c r="M416" t="s">
        <v>78</v>
      </c>
      <c r="N416" t="s">
        <v>83</v>
      </c>
      <c r="O416" t="s">
        <v>127</v>
      </c>
      <c r="P416" t="s">
        <v>26</v>
      </c>
      <c r="Q416" t="s">
        <v>27</v>
      </c>
    </row>
    <row r="417" spans="1:17" x14ac:dyDescent="0.3">
      <c r="A417" t="s">
        <v>939</v>
      </c>
      <c r="B417" t="s">
        <v>940</v>
      </c>
      <c r="C417" t="s">
        <v>144</v>
      </c>
      <c r="D417" t="s">
        <v>20</v>
      </c>
      <c r="E417" t="s">
        <v>49</v>
      </c>
      <c r="F417">
        <v>2018</v>
      </c>
      <c r="G417" t="s">
        <v>155</v>
      </c>
      <c r="H417">
        <v>175</v>
      </c>
      <c r="I417">
        <v>7</v>
      </c>
      <c r="J417">
        <v>617766</v>
      </c>
      <c r="K417">
        <v>666.16</v>
      </c>
      <c r="L417">
        <v>137.56</v>
      </c>
      <c r="M417" t="s">
        <v>23</v>
      </c>
      <c r="N417" t="s">
        <v>140</v>
      </c>
      <c r="O417" t="s">
        <v>59</v>
      </c>
      <c r="P417" t="s">
        <v>26</v>
      </c>
      <c r="Q417" t="s">
        <v>123</v>
      </c>
    </row>
    <row r="418" spans="1:17" x14ac:dyDescent="0.3">
      <c r="A418" t="s">
        <v>941</v>
      </c>
      <c r="B418" t="s">
        <v>942</v>
      </c>
      <c r="C418" t="s">
        <v>39</v>
      </c>
      <c r="D418" t="s">
        <v>40</v>
      </c>
      <c r="E418" t="s">
        <v>41</v>
      </c>
      <c r="F418">
        <v>2020</v>
      </c>
      <c r="G418" t="s">
        <v>155</v>
      </c>
      <c r="H418">
        <v>180</v>
      </c>
      <c r="I418">
        <v>7.1</v>
      </c>
      <c r="J418">
        <v>705800</v>
      </c>
      <c r="K418">
        <v>224.71</v>
      </c>
      <c r="L418">
        <v>67.02</v>
      </c>
      <c r="M418" t="s">
        <v>42</v>
      </c>
      <c r="N418" t="s">
        <v>43</v>
      </c>
      <c r="O418" t="s">
        <v>141</v>
      </c>
      <c r="P418" t="s">
        <v>26</v>
      </c>
      <c r="Q418" t="s">
        <v>152</v>
      </c>
    </row>
    <row r="419" spans="1:17" x14ac:dyDescent="0.3">
      <c r="A419" t="s">
        <v>943</v>
      </c>
      <c r="B419" t="s">
        <v>944</v>
      </c>
      <c r="C419" t="s">
        <v>86</v>
      </c>
      <c r="D419" t="s">
        <v>87</v>
      </c>
      <c r="E419" t="s">
        <v>88</v>
      </c>
      <c r="F419">
        <v>2023</v>
      </c>
      <c r="G419" t="s">
        <v>32</v>
      </c>
      <c r="H419">
        <v>126</v>
      </c>
      <c r="I419">
        <v>7</v>
      </c>
      <c r="J419">
        <v>55429</v>
      </c>
      <c r="K419">
        <v>327.12</v>
      </c>
      <c r="L419">
        <v>161.06</v>
      </c>
      <c r="M419" t="s">
        <v>42</v>
      </c>
      <c r="N419" t="s">
        <v>52</v>
      </c>
      <c r="O419" t="s">
        <v>105</v>
      </c>
      <c r="P419" t="s">
        <v>26</v>
      </c>
      <c r="Q419" t="s">
        <v>27</v>
      </c>
    </row>
    <row r="420" spans="1:17" x14ac:dyDescent="0.3">
      <c r="A420" t="s">
        <v>945</v>
      </c>
      <c r="B420" t="s">
        <v>946</v>
      </c>
      <c r="C420" t="s">
        <v>86</v>
      </c>
      <c r="D420" t="s">
        <v>87</v>
      </c>
      <c r="E420" t="s">
        <v>82</v>
      </c>
      <c r="F420">
        <v>2016</v>
      </c>
      <c r="G420" t="s">
        <v>50</v>
      </c>
      <c r="H420">
        <v>97</v>
      </c>
      <c r="I420">
        <v>6.8</v>
      </c>
      <c r="J420">
        <v>278170</v>
      </c>
      <c r="K420">
        <v>1150.19</v>
      </c>
      <c r="L420">
        <v>202.17</v>
      </c>
      <c r="M420" t="s">
        <v>42</v>
      </c>
      <c r="N420" t="s">
        <v>66</v>
      </c>
      <c r="O420" t="s">
        <v>166</v>
      </c>
      <c r="P420" t="s">
        <v>26</v>
      </c>
      <c r="Q420" t="s">
        <v>60</v>
      </c>
    </row>
    <row r="421" spans="1:17" x14ac:dyDescent="0.3">
      <c r="A421" t="s">
        <v>947</v>
      </c>
      <c r="B421" t="s">
        <v>948</v>
      </c>
      <c r="C421" t="s">
        <v>71</v>
      </c>
      <c r="D421" t="s">
        <v>64</v>
      </c>
      <c r="E421" t="s">
        <v>88</v>
      </c>
      <c r="F421">
        <v>2022</v>
      </c>
      <c r="G421" t="s">
        <v>126</v>
      </c>
      <c r="H421">
        <v>122</v>
      </c>
      <c r="I421">
        <v>6</v>
      </c>
      <c r="J421">
        <v>409726</v>
      </c>
      <c r="K421">
        <v>587.08000000000004</v>
      </c>
      <c r="L421">
        <v>154.66</v>
      </c>
      <c r="M421" t="s">
        <v>42</v>
      </c>
      <c r="N421" t="s">
        <v>145</v>
      </c>
      <c r="O421" t="s">
        <v>136</v>
      </c>
      <c r="P421" t="s">
        <v>26</v>
      </c>
      <c r="Q421" t="s">
        <v>60</v>
      </c>
    </row>
    <row r="422" spans="1:17" x14ac:dyDescent="0.3">
      <c r="A422" t="s">
        <v>949</v>
      </c>
      <c r="B422" t="s">
        <v>950</v>
      </c>
      <c r="C422" t="s">
        <v>86</v>
      </c>
      <c r="D422" t="s">
        <v>20</v>
      </c>
      <c r="E422" t="s">
        <v>41</v>
      </c>
      <c r="F422">
        <v>2024</v>
      </c>
      <c r="G422" t="s">
        <v>93</v>
      </c>
      <c r="H422">
        <v>157</v>
      </c>
      <c r="I422">
        <v>6</v>
      </c>
      <c r="J422">
        <v>449912</v>
      </c>
      <c r="K422">
        <v>127.01</v>
      </c>
      <c r="L422">
        <v>43.82</v>
      </c>
      <c r="M422" t="s">
        <v>23</v>
      </c>
      <c r="N422" t="s">
        <v>24</v>
      </c>
      <c r="O422" t="s">
        <v>25</v>
      </c>
      <c r="P422" t="s">
        <v>26</v>
      </c>
      <c r="Q422" t="s">
        <v>68</v>
      </c>
    </row>
    <row r="423" spans="1:17" x14ac:dyDescent="0.3">
      <c r="A423" t="s">
        <v>951</v>
      </c>
      <c r="B423" t="s">
        <v>952</v>
      </c>
      <c r="C423" t="s">
        <v>144</v>
      </c>
      <c r="D423" t="s">
        <v>20</v>
      </c>
      <c r="E423" t="s">
        <v>41</v>
      </c>
      <c r="F423">
        <v>2025</v>
      </c>
      <c r="G423" t="s">
        <v>108</v>
      </c>
      <c r="H423">
        <v>87</v>
      </c>
      <c r="I423">
        <v>7.4</v>
      </c>
      <c r="J423">
        <v>53835</v>
      </c>
      <c r="K423">
        <v>479.4</v>
      </c>
      <c r="L423">
        <v>197.13</v>
      </c>
      <c r="M423" t="s">
        <v>23</v>
      </c>
      <c r="N423" t="s">
        <v>52</v>
      </c>
      <c r="O423" t="s">
        <v>151</v>
      </c>
      <c r="P423" t="s">
        <v>26</v>
      </c>
      <c r="Q423" t="s">
        <v>68</v>
      </c>
    </row>
    <row r="424" spans="1:17" x14ac:dyDescent="0.3">
      <c r="A424" t="s">
        <v>953</v>
      </c>
      <c r="B424" t="s">
        <v>954</v>
      </c>
      <c r="C424" t="s">
        <v>112</v>
      </c>
      <c r="D424" t="s">
        <v>87</v>
      </c>
      <c r="E424" t="s">
        <v>41</v>
      </c>
      <c r="F424">
        <v>2022</v>
      </c>
      <c r="G424" t="s">
        <v>96</v>
      </c>
      <c r="H424">
        <v>137</v>
      </c>
      <c r="I424">
        <v>7.7</v>
      </c>
      <c r="J424">
        <v>462894</v>
      </c>
      <c r="K424">
        <v>34.21</v>
      </c>
      <c r="L424">
        <v>13.4</v>
      </c>
      <c r="M424" t="s">
        <v>42</v>
      </c>
      <c r="N424" t="s">
        <v>73</v>
      </c>
      <c r="O424" t="s">
        <v>97</v>
      </c>
      <c r="P424" t="s">
        <v>45</v>
      </c>
      <c r="Q424" t="s">
        <v>123</v>
      </c>
    </row>
    <row r="425" spans="1:17" x14ac:dyDescent="0.3">
      <c r="A425" t="s">
        <v>955</v>
      </c>
      <c r="B425" t="s">
        <v>956</v>
      </c>
      <c r="C425" t="s">
        <v>112</v>
      </c>
      <c r="D425" t="s">
        <v>87</v>
      </c>
      <c r="E425" t="s">
        <v>88</v>
      </c>
      <c r="F425">
        <v>2017</v>
      </c>
      <c r="G425" t="s">
        <v>32</v>
      </c>
      <c r="H425">
        <v>86</v>
      </c>
      <c r="I425">
        <v>8.1999999999999993</v>
      </c>
      <c r="J425">
        <v>549210</v>
      </c>
      <c r="K425">
        <v>822.11</v>
      </c>
      <c r="L425">
        <v>130.27000000000001</v>
      </c>
      <c r="M425" t="s">
        <v>42</v>
      </c>
      <c r="N425" t="s">
        <v>133</v>
      </c>
      <c r="O425" t="s">
        <v>74</v>
      </c>
      <c r="P425" t="s">
        <v>26</v>
      </c>
      <c r="Q425" t="s">
        <v>123</v>
      </c>
    </row>
    <row r="426" spans="1:17" x14ac:dyDescent="0.3">
      <c r="A426" t="s">
        <v>957</v>
      </c>
      <c r="B426" t="s">
        <v>958</v>
      </c>
      <c r="C426" t="s">
        <v>48</v>
      </c>
      <c r="D426" t="s">
        <v>20</v>
      </c>
      <c r="E426" t="s">
        <v>41</v>
      </c>
      <c r="F426">
        <v>2016</v>
      </c>
      <c r="G426" t="s">
        <v>155</v>
      </c>
      <c r="H426">
        <v>143</v>
      </c>
      <c r="I426">
        <v>7.1</v>
      </c>
      <c r="J426">
        <v>648536</v>
      </c>
      <c r="K426">
        <v>627.80999999999995</v>
      </c>
      <c r="L426">
        <v>114.29</v>
      </c>
      <c r="M426" t="s">
        <v>33</v>
      </c>
      <c r="N426" t="s">
        <v>179</v>
      </c>
      <c r="O426" t="s">
        <v>136</v>
      </c>
      <c r="P426" t="s">
        <v>26</v>
      </c>
      <c r="Q426" t="s">
        <v>36</v>
      </c>
    </row>
    <row r="427" spans="1:17" x14ac:dyDescent="0.3">
      <c r="A427" t="s">
        <v>959</v>
      </c>
      <c r="B427" t="s">
        <v>960</v>
      </c>
      <c r="C427" t="s">
        <v>63</v>
      </c>
      <c r="D427" t="s">
        <v>57</v>
      </c>
      <c r="E427" t="s">
        <v>208</v>
      </c>
      <c r="F427">
        <v>2016</v>
      </c>
      <c r="G427" t="s">
        <v>96</v>
      </c>
      <c r="H427">
        <v>105</v>
      </c>
      <c r="I427">
        <v>7.4</v>
      </c>
      <c r="J427">
        <v>739736</v>
      </c>
      <c r="K427">
        <v>187.1</v>
      </c>
      <c r="L427">
        <v>174.83</v>
      </c>
      <c r="M427" t="s">
        <v>58</v>
      </c>
      <c r="N427" t="s">
        <v>133</v>
      </c>
      <c r="O427" t="s">
        <v>148</v>
      </c>
      <c r="P427" t="s">
        <v>26</v>
      </c>
      <c r="Q427" t="s">
        <v>54</v>
      </c>
    </row>
    <row r="428" spans="1:17" x14ac:dyDescent="0.3">
      <c r="A428" t="s">
        <v>961</v>
      </c>
      <c r="B428" t="s">
        <v>962</v>
      </c>
      <c r="C428" t="s">
        <v>144</v>
      </c>
      <c r="D428" t="s">
        <v>20</v>
      </c>
      <c r="E428" t="s">
        <v>88</v>
      </c>
      <c r="F428">
        <v>2023</v>
      </c>
      <c r="G428" t="s">
        <v>50</v>
      </c>
      <c r="H428">
        <v>119</v>
      </c>
      <c r="I428">
        <v>7.5</v>
      </c>
      <c r="J428">
        <v>22193</v>
      </c>
      <c r="K428">
        <v>827.52</v>
      </c>
      <c r="L428">
        <v>174.6</v>
      </c>
      <c r="M428" t="s">
        <v>78</v>
      </c>
      <c r="N428" t="s">
        <v>109</v>
      </c>
      <c r="O428" t="s">
        <v>166</v>
      </c>
      <c r="P428" t="s">
        <v>26</v>
      </c>
      <c r="Q428" t="s">
        <v>60</v>
      </c>
    </row>
    <row r="429" spans="1:17" x14ac:dyDescent="0.3">
      <c r="A429" t="s">
        <v>963</v>
      </c>
      <c r="B429" t="s">
        <v>964</v>
      </c>
      <c r="C429" t="s">
        <v>48</v>
      </c>
      <c r="D429" t="s">
        <v>57</v>
      </c>
      <c r="E429" t="s">
        <v>41</v>
      </c>
      <c r="F429">
        <v>2023</v>
      </c>
      <c r="G429" t="s">
        <v>108</v>
      </c>
      <c r="H429">
        <v>173</v>
      </c>
      <c r="I429">
        <v>7.5</v>
      </c>
      <c r="J429">
        <v>872603</v>
      </c>
      <c r="K429">
        <v>1540.97</v>
      </c>
      <c r="L429">
        <v>238.22</v>
      </c>
      <c r="M429" t="s">
        <v>58</v>
      </c>
      <c r="N429" t="s">
        <v>109</v>
      </c>
      <c r="O429" t="s">
        <v>59</v>
      </c>
      <c r="P429" t="s">
        <v>26</v>
      </c>
      <c r="Q429" t="s">
        <v>152</v>
      </c>
    </row>
    <row r="430" spans="1:17" x14ac:dyDescent="0.3">
      <c r="A430" t="s">
        <v>965</v>
      </c>
      <c r="B430" t="s">
        <v>966</v>
      </c>
      <c r="C430" t="s">
        <v>48</v>
      </c>
      <c r="D430" t="s">
        <v>215</v>
      </c>
      <c r="E430" t="s">
        <v>31</v>
      </c>
      <c r="F430">
        <v>2020</v>
      </c>
      <c r="G430" t="s">
        <v>50</v>
      </c>
      <c r="H430">
        <v>110</v>
      </c>
      <c r="I430">
        <v>7.2</v>
      </c>
      <c r="J430">
        <v>242038</v>
      </c>
      <c r="K430">
        <v>582.66</v>
      </c>
      <c r="L430">
        <v>195.19</v>
      </c>
      <c r="M430" t="s">
        <v>216</v>
      </c>
      <c r="N430" t="s">
        <v>179</v>
      </c>
      <c r="O430" t="s">
        <v>25</v>
      </c>
      <c r="P430" t="s">
        <v>26</v>
      </c>
      <c r="Q430" t="s">
        <v>27</v>
      </c>
    </row>
    <row r="431" spans="1:17" x14ac:dyDescent="0.3">
      <c r="A431" t="s">
        <v>967</v>
      </c>
      <c r="B431" t="s">
        <v>968</v>
      </c>
      <c r="C431" t="s">
        <v>130</v>
      </c>
      <c r="D431" t="s">
        <v>20</v>
      </c>
      <c r="E431" t="s">
        <v>49</v>
      </c>
      <c r="F431">
        <v>2025</v>
      </c>
      <c r="G431" t="s">
        <v>65</v>
      </c>
      <c r="H431">
        <v>90</v>
      </c>
      <c r="I431">
        <v>8</v>
      </c>
      <c r="J431">
        <v>105211</v>
      </c>
      <c r="K431">
        <v>1007.58</v>
      </c>
      <c r="L431">
        <v>157.29</v>
      </c>
      <c r="M431" t="s">
        <v>51</v>
      </c>
      <c r="N431" t="s">
        <v>43</v>
      </c>
      <c r="O431" t="s">
        <v>120</v>
      </c>
      <c r="P431" t="s">
        <v>26</v>
      </c>
      <c r="Q431" t="s">
        <v>27</v>
      </c>
    </row>
    <row r="432" spans="1:17" x14ac:dyDescent="0.3">
      <c r="A432" t="s">
        <v>969</v>
      </c>
      <c r="B432" t="s">
        <v>970</v>
      </c>
      <c r="C432" t="s">
        <v>144</v>
      </c>
      <c r="D432" t="s">
        <v>20</v>
      </c>
      <c r="E432" t="s">
        <v>88</v>
      </c>
      <c r="F432">
        <v>2022</v>
      </c>
      <c r="G432" t="s">
        <v>22</v>
      </c>
      <c r="H432">
        <v>156</v>
      </c>
      <c r="I432">
        <v>7.7</v>
      </c>
      <c r="J432">
        <v>411196</v>
      </c>
      <c r="K432">
        <v>320.44</v>
      </c>
      <c r="L432">
        <v>67.319999999999993</v>
      </c>
      <c r="M432" t="s">
        <v>33</v>
      </c>
      <c r="N432" t="s">
        <v>83</v>
      </c>
      <c r="O432" t="s">
        <v>74</v>
      </c>
      <c r="P432" t="s">
        <v>26</v>
      </c>
      <c r="Q432" t="s">
        <v>54</v>
      </c>
    </row>
    <row r="433" spans="1:17" x14ac:dyDescent="0.3">
      <c r="A433" t="s">
        <v>971</v>
      </c>
      <c r="B433" t="s">
        <v>972</v>
      </c>
      <c r="C433" t="s">
        <v>19</v>
      </c>
      <c r="D433" t="s">
        <v>20</v>
      </c>
      <c r="E433" t="s">
        <v>192</v>
      </c>
      <c r="F433">
        <v>2019</v>
      </c>
      <c r="G433" t="s">
        <v>155</v>
      </c>
      <c r="H433">
        <v>105</v>
      </c>
      <c r="I433">
        <v>7.4</v>
      </c>
      <c r="J433">
        <v>269703</v>
      </c>
      <c r="K433">
        <v>410.53</v>
      </c>
      <c r="L433">
        <v>172.34</v>
      </c>
      <c r="M433" t="s">
        <v>23</v>
      </c>
      <c r="N433" t="s">
        <v>43</v>
      </c>
      <c r="O433" t="s">
        <v>105</v>
      </c>
      <c r="P433" t="s">
        <v>26</v>
      </c>
      <c r="Q433" t="s">
        <v>152</v>
      </c>
    </row>
    <row r="434" spans="1:17" x14ac:dyDescent="0.3">
      <c r="A434" t="s">
        <v>973</v>
      </c>
      <c r="B434" t="s">
        <v>974</v>
      </c>
      <c r="C434" t="s">
        <v>39</v>
      </c>
      <c r="D434" t="s">
        <v>57</v>
      </c>
      <c r="E434" t="s">
        <v>88</v>
      </c>
      <c r="F434">
        <v>2019</v>
      </c>
      <c r="G434" t="s">
        <v>65</v>
      </c>
      <c r="H434">
        <v>121</v>
      </c>
      <c r="I434">
        <v>6.4</v>
      </c>
      <c r="J434">
        <v>749631</v>
      </c>
      <c r="K434">
        <v>151</v>
      </c>
      <c r="L434">
        <v>21.6</v>
      </c>
      <c r="M434" t="s">
        <v>58</v>
      </c>
      <c r="N434" t="s">
        <v>24</v>
      </c>
      <c r="O434" t="s">
        <v>67</v>
      </c>
      <c r="P434" t="s">
        <v>26</v>
      </c>
      <c r="Q434" t="s">
        <v>36</v>
      </c>
    </row>
    <row r="435" spans="1:17" x14ac:dyDescent="0.3">
      <c r="A435" t="s">
        <v>975</v>
      </c>
      <c r="B435" t="s">
        <v>976</v>
      </c>
      <c r="C435" t="s">
        <v>30</v>
      </c>
      <c r="D435" t="s">
        <v>20</v>
      </c>
      <c r="E435" t="s">
        <v>31</v>
      </c>
      <c r="F435">
        <v>2025</v>
      </c>
      <c r="G435" t="s">
        <v>65</v>
      </c>
      <c r="H435">
        <v>174</v>
      </c>
      <c r="I435">
        <v>6.9</v>
      </c>
      <c r="J435">
        <v>180508</v>
      </c>
      <c r="K435">
        <v>145.5</v>
      </c>
      <c r="L435">
        <v>22.51</v>
      </c>
      <c r="M435" t="s">
        <v>78</v>
      </c>
      <c r="N435" t="s">
        <v>83</v>
      </c>
      <c r="O435" t="s">
        <v>199</v>
      </c>
      <c r="P435" t="s">
        <v>45</v>
      </c>
      <c r="Q435" t="s">
        <v>152</v>
      </c>
    </row>
    <row r="436" spans="1:17" x14ac:dyDescent="0.3">
      <c r="A436" t="s">
        <v>977</v>
      </c>
      <c r="B436" t="s">
        <v>978</v>
      </c>
      <c r="C436" t="s">
        <v>30</v>
      </c>
      <c r="D436" t="s">
        <v>20</v>
      </c>
      <c r="E436" t="s">
        <v>192</v>
      </c>
      <c r="F436">
        <v>2023</v>
      </c>
      <c r="G436" t="s">
        <v>65</v>
      </c>
      <c r="H436">
        <v>178</v>
      </c>
      <c r="I436">
        <v>7.8</v>
      </c>
      <c r="J436">
        <v>227187</v>
      </c>
      <c r="K436">
        <v>348.5</v>
      </c>
      <c r="L436">
        <v>240.23</v>
      </c>
      <c r="M436" t="s">
        <v>23</v>
      </c>
      <c r="N436" t="s">
        <v>101</v>
      </c>
      <c r="O436" t="s">
        <v>166</v>
      </c>
      <c r="P436" t="s">
        <v>26</v>
      </c>
      <c r="Q436" t="s">
        <v>36</v>
      </c>
    </row>
    <row r="437" spans="1:17" x14ac:dyDescent="0.3">
      <c r="A437" t="s">
        <v>979</v>
      </c>
      <c r="B437" t="s">
        <v>980</v>
      </c>
      <c r="C437" t="s">
        <v>63</v>
      </c>
      <c r="D437" t="s">
        <v>87</v>
      </c>
      <c r="E437" t="s">
        <v>82</v>
      </c>
      <c r="F437">
        <v>2022</v>
      </c>
      <c r="G437" t="s">
        <v>93</v>
      </c>
      <c r="H437">
        <v>121</v>
      </c>
      <c r="I437">
        <v>6.4</v>
      </c>
      <c r="J437">
        <v>806045</v>
      </c>
      <c r="K437">
        <v>411.37</v>
      </c>
      <c r="L437">
        <v>88.46</v>
      </c>
      <c r="M437" t="s">
        <v>42</v>
      </c>
      <c r="N437" t="s">
        <v>109</v>
      </c>
      <c r="O437" t="s">
        <v>199</v>
      </c>
      <c r="P437" t="s">
        <v>26</v>
      </c>
      <c r="Q437" t="s">
        <v>60</v>
      </c>
    </row>
    <row r="438" spans="1:17" x14ac:dyDescent="0.3">
      <c r="A438" t="s">
        <v>981</v>
      </c>
      <c r="B438" t="s">
        <v>982</v>
      </c>
      <c r="C438" t="s">
        <v>48</v>
      </c>
      <c r="D438" t="s">
        <v>20</v>
      </c>
      <c r="E438" t="s">
        <v>31</v>
      </c>
      <c r="F438">
        <v>2023</v>
      </c>
      <c r="G438" t="s">
        <v>100</v>
      </c>
      <c r="H438">
        <v>107</v>
      </c>
      <c r="I438">
        <v>6.4</v>
      </c>
      <c r="J438">
        <v>118483</v>
      </c>
      <c r="K438">
        <v>99.6</v>
      </c>
      <c r="L438">
        <v>94.81</v>
      </c>
      <c r="M438" t="s">
        <v>23</v>
      </c>
      <c r="N438" t="s">
        <v>66</v>
      </c>
      <c r="O438" t="s">
        <v>148</v>
      </c>
      <c r="P438" t="s">
        <v>26</v>
      </c>
      <c r="Q438" t="s">
        <v>60</v>
      </c>
    </row>
    <row r="439" spans="1:17" x14ac:dyDescent="0.3">
      <c r="A439" t="s">
        <v>983</v>
      </c>
      <c r="B439" t="s">
        <v>984</v>
      </c>
      <c r="C439" t="s">
        <v>39</v>
      </c>
      <c r="D439" t="s">
        <v>72</v>
      </c>
      <c r="E439" t="s">
        <v>41</v>
      </c>
      <c r="F439">
        <v>2015</v>
      </c>
      <c r="G439" t="s">
        <v>22</v>
      </c>
      <c r="H439">
        <v>151</v>
      </c>
      <c r="I439">
        <v>7</v>
      </c>
      <c r="J439">
        <v>108477</v>
      </c>
      <c r="K439">
        <v>28.17</v>
      </c>
      <c r="L439">
        <v>5.05</v>
      </c>
      <c r="M439" t="s">
        <v>42</v>
      </c>
      <c r="N439" t="s">
        <v>66</v>
      </c>
      <c r="O439" t="s">
        <v>105</v>
      </c>
      <c r="P439" t="s">
        <v>45</v>
      </c>
      <c r="Q439" t="s">
        <v>54</v>
      </c>
    </row>
    <row r="440" spans="1:17" x14ac:dyDescent="0.3">
      <c r="A440" t="s">
        <v>985</v>
      </c>
      <c r="B440" t="s">
        <v>986</v>
      </c>
      <c r="C440" t="s">
        <v>39</v>
      </c>
      <c r="D440" t="s">
        <v>20</v>
      </c>
      <c r="E440" t="s">
        <v>31</v>
      </c>
      <c r="F440">
        <v>2021</v>
      </c>
      <c r="G440" t="s">
        <v>50</v>
      </c>
      <c r="H440">
        <v>162</v>
      </c>
      <c r="I440">
        <v>8.3000000000000007</v>
      </c>
      <c r="J440">
        <v>287686</v>
      </c>
      <c r="K440">
        <v>311.79000000000002</v>
      </c>
      <c r="L440">
        <v>100.67</v>
      </c>
      <c r="M440" t="s">
        <v>78</v>
      </c>
      <c r="N440" t="s">
        <v>89</v>
      </c>
      <c r="O440" t="s">
        <v>105</v>
      </c>
      <c r="P440" t="s">
        <v>26</v>
      </c>
      <c r="Q440" t="s">
        <v>27</v>
      </c>
    </row>
    <row r="441" spans="1:17" x14ac:dyDescent="0.3">
      <c r="A441" t="s">
        <v>987</v>
      </c>
      <c r="B441" t="s">
        <v>988</v>
      </c>
      <c r="C441" t="s">
        <v>48</v>
      </c>
      <c r="D441" t="s">
        <v>20</v>
      </c>
      <c r="E441" t="s">
        <v>21</v>
      </c>
      <c r="F441">
        <v>2016</v>
      </c>
      <c r="G441" t="s">
        <v>113</v>
      </c>
      <c r="H441">
        <v>139</v>
      </c>
      <c r="I441">
        <v>6.9</v>
      </c>
      <c r="J441">
        <v>761227</v>
      </c>
      <c r="K441">
        <v>745.16</v>
      </c>
      <c r="L441">
        <v>125.78</v>
      </c>
      <c r="M441" t="s">
        <v>78</v>
      </c>
      <c r="N441" t="s">
        <v>52</v>
      </c>
      <c r="O441" t="s">
        <v>166</v>
      </c>
      <c r="P441" t="s">
        <v>26</v>
      </c>
      <c r="Q441" t="s">
        <v>27</v>
      </c>
    </row>
    <row r="442" spans="1:17" x14ac:dyDescent="0.3">
      <c r="A442" t="s">
        <v>989</v>
      </c>
      <c r="B442" t="s">
        <v>990</v>
      </c>
      <c r="C442" t="s">
        <v>39</v>
      </c>
      <c r="D442" t="s">
        <v>57</v>
      </c>
      <c r="E442" t="s">
        <v>41</v>
      </c>
      <c r="F442">
        <v>2020</v>
      </c>
      <c r="G442" t="s">
        <v>155</v>
      </c>
      <c r="H442">
        <v>161</v>
      </c>
      <c r="I442">
        <v>8.1999999999999993</v>
      </c>
      <c r="J442">
        <v>351705</v>
      </c>
      <c r="K442">
        <v>26.3</v>
      </c>
      <c r="L442">
        <v>18.350000000000001</v>
      </c>
      <c r="M442" t="s">
        <v>58</v>
      </c>
      <c r="N442" t="s">
        <v>140</v>
      </c>
      <c r="O442" t="s">
        <v>44</v>
      </c>
      <c r="P442" t="s">
        <v>45</v>
      </c>
      <c r="Q442" t="s">
        <v>68</v>
      </c>
    </row>
    <row r="443" spans="1:17" x14ac:dyDescent="0.3">
      <c r="A443" t="s">
        <v>991</v>
      </c>
      <c r="B443" t="s">
        <v>992</v>
      </c>
      <c r="C443" t="s">
        <v>19</v>
      </c>
      <c r="D443" t="s">
        <v>81</v>
      </c>
      <c r="E443" t="s">
        <v>49</v>
      </c>
      <c r="F443">
        <v>2022</v>
      </c>
      <c r="G443" t="s">
        <v>108</v>
      </c>
      <c r="H443">
        <v>85</v>
      </c>
      <c r="I443">
        <v>6.9</v>
      </c>
      <c r="J443">
        <v>527014</v>
      </c>
      <c r="K443">
        <v>827.18</v>
      </c>
      <c r="L443">
        <v>220.74</v>
      </c>
      <c r="M443" t="s">
        <v>42</v>
      </c>
      <c r="N443" t="s">
        <v>43</v>
      </c>
      <c r="O443" t="s">
        <v>97</v>
      </c>
      <c r="P443" t="s">
        <v>26</v>
      </c>
      <c r="Q443" t="s">
        <v>36</v>
      </c>
    </row>
    <row r="444" spans="1:17" x14ac:dyDescent="0.3">
      <c r="A444" t="s">
        <v>993</v>
      </c>
      <c r="B444" t="s">
        <v>994</v>
      </c>
      <c r="C444" t="s">
        <v>71</v>
      </c>
      <c r="D444" t="s">
        <v>20</v>
      </c>
      <c r="E444" t="s">
        <v>41</v>
      </c>
      <c r="F444">
        <v>2019</v>
      </c>
      <c r="G444" t="s">
        <v>108</v>
      </c>
      <c r="H444">
        <v>110</v>
      </c>
      <c r="I444">
        <v>6.1</v>
      </c>
      <c r="J444">
        <v>289620</v>
      </c>
      <c r="K444">
        <v>387.04</v>
      </c>
      <c r="L444">
        <v>52.02</v>
      </c>
      <c r="M444" t="s">
        <v>33</v>
      </c>
      <c r="N444" t="s">
        <v>43</v>
      </c>
      <c r="O444" t="s">
        <v>166</v>
      </c>
      <c r="P444" t="s">
        <v>45</v>
      </c>
      <c r="Q444" t="s">
        <v>68</v>
      </c>
    </row>
    <row r="445" spans="1:17" x14ac:dyDescent="0.3">
      <c r="A445" t="s">
        <v>434</v>
      </c>
      <c r="B445" t="s">
        <v>435</v>
      </c>
      <c r="C445" t="s">
        <v>130</v>
      </c>
      <c r="D445" t="s">
        <v>20</v>
      </c>
      <c r="E445" t="s">
        <v>41</v>
      </c>
      <c r="F445">
        <v>2016</v>
      </c>
      <c r="G445" t="s">
        <v>50</v>
      </c>
      <c r="H445">
        <v>132</v>
      </c>
      <c r="I445">
        <v>7.4</v>
      </c>
      <c r="J445">
        <v>384166</v>
      </c>
      <c r="K445">
        <v>403.76</v>
      </c>
      <c r="L445">
        <v>189.23</v>
      </c>
      <c r="M445" t="s">
        <v>33</v>
      </c>
      <c r="N445" t="s">
        <v>101</v>
      </c>
      <c r="O445" t="s">
        <v>53</v>
      </c>
      <c r="P445" t="s">
        <v>26</v>
      </c>
      <c r="Q445" t="s">
        <v>152</v>
      </c>
    </row>
    <row r="446" spans="1:17" x14ac:dyDescent="0.3">
      <c r="A446" t="s">
        <v>995</v>
      </c>
      <c r="B446" t="s">
        <v>996</v>
      </c>
      <c r="C446" t="s">
        <v>19</v>
      </c>
      <c r="D446" t="s">
        <v>57</v>
      </c>
      <c r="E446" t="s">
        <v>139</v>
      </c>
      <c r="F446">
        <v>2016</v>
      </c>
      <c r="G446" t="s">
        <v>93</v>
      </c>
      <c r="H446">
        <v>145</v>
      </c>
      <c r="I446">
        <v>8</v>
      </c>
      <c r="J446">
        <v>921190</v>
      </c>
      <c r="K446">
        <v>819.44</v>
      </c>
      <c r="L446">
        <v>196.4</v>
      </c>
      <c r="M446" t="s">
        <v>58</v>
      </c>
      <c r="N446" t="s">
        <v>43</v>
      </c>
      <c r="O446" t="s">
        <v>67</v>
      </c>
      <c r="P446" t="s">
        <v>26</v>
      </c>
      <c r="Q446" t="s">
        <v>60</v>
      </c>
    </row>
    <row r="447" spans="1:17" x14ac:dyDescent="0.3">
      <c r="A447" t="s">
        <v>997</v>
      </c>
      <c r="B447" t="s">
        <v>998</v>
      </c>
      <c r="C447" t="s">
        <v>19</v>
      </c>
      <c r="D447" t="s">
        <v>57</v>
      </c>
      <c r="E447" t="s">
        <v>82</v>
      </c>
      <c r="F447">
        <v>2021</v>
      </c>
      <c r="G447" t="s">
        <v>113</v>
      </c>
      <c r="H447">
        <v>161</v>
      </c>
      <c r="I447">
        <v>7.4</v>
      </c>
      <c r="J447">
        <v>826527</v>
      </c>
      <c r="K447">
        <v>144.26</v>
      </c>
      <c r="L447">
        <v>165.61</v>
      </c>
      <c r="M447" t="s">
        <v>58</v>
      </c>
      <c r="N447" t="s">
        <v>89</v>
      </c>
      <c r="O447" t="s">
        <v>25</v>
      </c>
      <c r="P447" t="s">
        <v>45</v>
      </c>
      <c r="Q447" t="s">
        <v>60</v>
      </c>
    </row>
    <row r="448" spans="1:17" x14ac:dyDescent="0.3">
      <c r="A448" t="s">
        <v>999</v>
      </c>
      <c r="B448" t="s">
        <v>1000</v>
      </c>
      <c r="C448" t="s">
        <v>130</v>
      </c>
      <c r="D448" t="s">
        <v>64</v>
      </c>
      <c r="E448" t="s">
        <v>82</v>
      </c>
      <c r="F448">
        <v>2021</v>
      </c>
      <c r="G448" t="s">
        <v>108</v>
      </c>
      <c r="H448">
        <v>146</v>
      </c>
      <c r="I448">
        <v>6.9</v>
      </c>
      <c r="J448">
        <v>808169</v>
      </c>
      <c r="K448">
        <v>191.71</v>
      </c>
      <c r="L448">
        <v>62.33</v>
      </c>
      <c r="M448" t="s">
        <v>42</v>
      </c>
      <c r="N448" t="s">
        <v>145</v>
      </c>
      <c r="O448" t="s">
        <v>59</v>
      </c>
      <c r="P448" t="s">
        <v>45</v>
      </c>
      <c r="Q448" t="s">
        <v>68</v>
      </c>
    </row>
    <row r="449" spans="1:17" x14ac:dyDescent="0.3">
      <c r="A449" t="s">
        <v>1001</v>
      </c>
      <c r="B449" t="s">
        <v>1002</v>
      </c>
      <c r="C449" t="s">
        <v>63</v>
      </c>
      <c r="D449" t="s">
        <v>87</v>
      </c>
      <c r="E449" t="s">
        <v>208</v>
      </c>
      <c r="F449">
        <v>2015</v>
      </c>
      <c r="G449" t="s">
        <v>93</v>
      </c>
      <c r="H449">
        <v>98</v>
      </c>
      <c r="I449">
        <v>6.3</v>
      </c>
      <c r="J449">
        <v>842035</v>
      </c>
      <c r="K449">
        <v>534.58000000000004</v>
      </c>
      <c r="L449">
        <v>143.1</v>
      </c>
      <c r="M449" t="s">
        <v>42</v>
      </c>
      <c r="N449" t="s">
        <v>52</v>
      </c>
      <c r="O449" t="s">
        <v>74</v>
      </c>
      <c r="P449" t="s">
        <v>45</v>
      </c>
      <c r="Q449" t="s">
        <v>152</v>
      </c>
    </row>
    <row r="450" spans="1:17" x14ac:dyDescent="0.3">
      <c r="A450" t="s">
        <v>1003</v>
      </c>
      <c r="B450" t="s">
        <v>1004</v>
      </c>
      <c r="C450" t="s">
        <v>30</v>
      </c>
      <c r="D450" t="s">
        <v>20</v>
      </c>
      <c r="E450" t="s">
        <v>88</v>
      </c>
      <c r="F450">
        <v>2024</v>
      </c>
      <c r="G450" t="s">
        <v>65</v>
      </c>
      <c r="H450">
        <v>103</v>
      </c>
      <c r="I450">
        <v>6.5</v>
      </c>
      <c r="J450">
        <v>142879</v>
      </c>
      <c r="K450">
        <v>104.62</v>
      </c>
      <c r="L450">
        <v>90.63</v>
      </c>
      <c r="M450" t="s">
        <v>78</v>
      </c>
      <c r="N450" t="s">
        <v>109</v>
      </c>
      <c r="O450" t="s">
        <v>74</v>
      </c>
      <c r="P450" t="s">
        <v>26</v>
      </c>
      <c r="Q450" t="s">
        <v>54</v>
      </c>
    </row>
    <row r="451" spans="1:17" x14ac:dyDescent="0.3">
      <c r="A451" t="s">
        <v>1005</v>
      </c>
      <c r="B451" t="s">
        <v>1006</v>
      </c>
      <c r="C451" t="s">
        <v>86</v>
      </c>
      <c r="D451" t="s">
        <v>20</v>
      </c>
      <c r="E451" t="s">
        <v>208</v>
      </c>
      <c r="F451">
        <v>2025</v>
      </c>
      <c r="G451" t="s">
        <v>32</v>
      </c>
      <c r="H451">
        <v>144</v>
      </c>
      <c r="I451">
        <v>7.4</v>
      </c>
      <c r="J451">
        <v>509106</v>
      </c>
      <c r="K451">
        <v>157.53</v>
      </c>
      <c r="L451">
        <v>116.42</v>
      </c>
      <c r="M451" t="s">
        <v>23</v>
      </c>
      <c r="N451" t="s">
        <v>24</v>
      </c>
      <c r="O451" t="s">
        <v>59</v>
      </c>
      <c r="P451" t="s">
        <v>26</v>
      </c>
      <c r="Q451" t="s">
        <v>27</v>
      </c>
    </row>
    <row r="452" spans="1:17" x14ac:dyDescent="0.3">
      <c r="A452" t="s">
        <v>1007</v>
      </c>
      <c r="B452" t="s">
        <v>1008</v>
      </c>
      <c r="C452" t="s">
        <v>39</v>
      </c>
      <c r="D452" t="s">
        <v>20</v>
      </c>
      <c r="E452" t="s">
        <v>31</v>
      </c>
      <c r="F452">
        <v>2015</v>
      </c>
      <c r="G452" t="s">
        <v>113</v>
      </c>
      <c r="H452">
        <v>111</v>
      </c>
      <c r="I452">
        <v>8.1</v>
      </c>
      <c r="J452">
        <v>468927</v>
      </c>
      <c r="K452">
        <v>828.18</v>
      </c>
      <c r="L452">
        <v>150.25</v>
      </c>
      <c r="M452" t="s">
        <v>51</v>
      </c>
      <c r="N452" t="s">
        <v>179</v>
      </c>
      <c r="O452" t="s">
        <v>53</v>
      </c>
      <c r="P452" t="s">
        <v>26</v>
      </c>
      <c r="Q452" t="s">
        <v>27</v>
      </c>
    </row>
    <row r="453" spans="1:17" x14ac:dyDescent="0.3">
      <c r="A453" t="s">
        <v>1009</v>
      </c>
      <c r="B453" t="s">
        <v>1010</v>
      </c>
      <c r="C453" t="s">
        <v>39</v>
      </c>
      <c r="D453" t="s">
        <v>20</v>
      </c>
      <c r="E453" t="s">
        <v>88</v>
      </c>
      <c r="F453">
        <v>2015</v>
      </c>
      <c r="G453" t="s">
        <v>108</v>
      </c>
      <c r="H453">
        <v>156</v>
      </c>
      <c r="I453">
        <v>6.5</v>
      </c>
      <c r="J453">
        <v>204910</v>
      </c>
      <c r="K453">
        <v>251.25</v>
      </c>
      <c r="L453">
        <v>91.91</v>
      </c>
      <c r="M453" t="s">
        <v>33</v>
      </c>
      <c r="N453" t="s">
        <v>101</v>
      </c>
      <c r="O453" t="s">
        <v>59</v>
      </c>
      <c r="P453" t="s">
        <v>45</v>
      </c>
      <c r="Q453" t="s">
        <v>54</v>
      </c>
    </row>
    <row r="454" spans="1:17" x14ac:dyDescent="0.3">
      <c r="A454" t="s">
        <v>1011</v>
      </c>
      <c r="B454" t="s">
        <v>1012</v>
      </c>
      <c r="C454" t="s">
        <v>19</v>
      </c>
      <c r="D454" t="s">
        <v>20</v>
      </c>
      <c r="E454" t="s">
        <v>31</v>
      </c>
      <c r="F454">
        <v>2024</v>
      </c>
      <c r="G454" t="s">
        <v>50</v>
      </c>
      <c r="H454">
        <v>183</v>
      </c>
      <c r="I454">
        <v>7.4</v>
      </c>
      <c r="J454">
        <v>632450</v>
      </c>
      <c r="K454">
        <v>503.24</v>
      </c>
      <c r="L454">
        <v>80.92</v>
      </c>
      <c r="M454" t="s">
        <v>23</v>
      </c>
      <c r="N454" t="s">
        <v>145</v>
      </c>
      <c r="O454" t="s">
        <v>199</v>
      </c>
      <c r="P454" t="s">
        <v>26</v>
      </c>
      <c r="Q454" t="s">
        <v>36</v>
      </c>
    </row>
    <row r="455" spans="1:17" x14ac:dyDescent="0.3">
      <c r="A455" t="s">
        <v>1013</v>
      </c>
      <c r="B455" t="s">
        <v>1014</v>
      </c>
      <c r="C455" t="s">
        <v>116</v>
      </c>
      <c r="D455" t="s">
        <v>72</v>
      </c>
      <c r="E455" t="s">
        <v>82</v>
      </c>
      <c r="F455">
        <v>2017</v>
      </c>
      <c r="G455" t="s">
        <v>77</v>
      </c>
      <c r="H455">
        <v>93</v>
      </c>
      <c r="I455">
        <v>5.5</v>
      </c>
      <c r="J455">
        <v>124938</v>
      </c>
      <c r="K455">
        <v>306.27</v>
      </c>
      <c r="L455">
        <v>47.67</v>
      </c>
      <c r="M455" t="s">
        <v>42</v>
      </c>
      <c r="N455" t="s">
        <v>24</v>
      </c>
      <c r="O455" t="s">
        <v>35</v>
      </c>
      <c r="P455" t="s">
        <v>26</v>
      </c>
      <c r="Q455" t="s">
        <v>27</v>
      </c>
    </row>
    <row r="456" spans="1:17" x14ac:dyDescent="0.3">
      <c r="A456" t="s">
        <v>1015</v>
      </c>
      <c r="B456" t="s">
        <v>1016</v>
      </c>
      <c r="C456" t="s">
        <v>116</v>
      </c>
      <c r="D456" t="s">
        <v>81</v>
      </c>
      <c r="E456" t="s">
        <v>41</v>
      </c>
      <c r="F456">
        <v>2024</v>
      </c>
      <c r="G456" t="s">
        <v>96</v>
      </c>
      <c r="H456">
        <v>140</v>
      </c>
      <c r="I456">
        <v>6.9</v>
      </c>
      <c r="J456">
        <v>363344</v>
      </c>
      <c r="K456">
        <v>849.23</v>
      </c>
      <c r="L456">
        <v>166.6</v>
      </c>
      <c r="M456" t="s">
        <v>42</v>
      </c>
      <c r="N456" t="s">
        <v>119</v>
      </c>
      <c r="O456" t="s">
        <v>127</v>
      </c>
      <c r="P456" t="s">
        <v>45</v>
      </c>
      <c r="Q456" t="s">
        <v>152</v>
      </c>
    </row>
    <row r="457" spans="1:17" x14ac:dyDescent="0.3">
      <c r="A457" t="s">
        <v>1017</v>
      </c>
      <c r="B457" t="s">
        <v>1018</v>
      </c>
      <c r="C457" t="s">
        <v>104</v>
      </c>
      <c r="D457" t="s">
        <v>87</v>
      </c>
      <c r="E457" t="s">
        <v>41</v>
      </c>
      <c r="F457">
        <v>2025</v>
      </c>
      <c r="G457" t="s">
        <v>113</v>
      </c>
      <c r="H457">
        <v>121</v>
      </c>
      <c r="I457">
        <v>6.4</v>
      </c>
      <c r="J457">
        <v>908655</v>
      </c>
      <c r="K457">
        <v>433.04</v>
      </c>
      <c r="L457">
        <v>164.62</v>
      </c>
      <c r="M457" t="s">
        <v>42</v>
      </c>
      <c r="N457" t="s">
        <v>109</v>
      </c>
      <c r="O457" t="s">
        <v>166</v>
      </c>
      <c r="P457" t="s">
        <v>26</v>
      </c>
      <c r="Q457" t="s">
        <v>27</v>
      </c>
    </row>
    <row r="458" spans="1:17" x14ac:dyDescent="0.3">
      <c r="A458" t="s">
        <v>1019</v>
      </c>
      <c r="B458" t="s">
        <v>1020</v>
      </c>
      <c r="C458" t="s">
        <v>86</v>
      </c>
      <c r="D458" t="s">
        <v>87</v>
      </c>
      <c r="E458" t="s">
        <v>49</v>
      </c>
      <c r="F458">
        <v>2018</v>
      </c>
      <c r="G458" t="s">
        <v>113</v>
      </c>
      <c r="H458">
        <v>103</v>
      </c>
      <c r="I458">
        <v>7.9</v>
      </c>
      <c r="J458">
        <v>381904</v>
      </c>
      <c r="K458">
        <v>544.57000000000005</v>
      </c>
      <c r="L458">
        <v>99.24</v>
      </c>
      <c r="M458" t="s">
        <v>42</v>
      </c>
      <c r="N458" t="s">
        <v>52</v>
      </c>
      <c r="O458" t="s">
        <v>136</v>
      </c>
      <c r="P458" t="s">
        <v>26</v>
      </c>
      <c r="Q458" t="s">
        <v>27</v>
      </c>
    </row>
    <row r="459" spans="1:17" x14ac:dyDescent="0.3">
      <c r="A459" t="s">
        <v>1021</v>
      </c>
      <c r="B459" t="s">
        <v>1022</v>
      </c>
      <c r="C459" t="s">
        <v>30</v>
      </c>
      <c r="D459" t="s">
        <v>20</v>
      </c>
      <c r="E459" t="s">
        <v>88</v>
      </c>
      <c r="F459">
        <v>2024</v>
      </c>
      <c r="G459" t="s">
        <v>96</v>
      </c>
      <c r="H459">
        <v>104</v>
      </c>
      <c r="I459">
        <v>6.9</v>
      </c>
      <c r="J459">
        <v>111590</v>
      </c>
      <c r="K459">
        <v>167.73</v>
      </c>
      <c r="L459">
        <v>42.76</v>
      </c>
      <c r="M459" t="s">
        <v>33</v>
      </c>
      <c r="N459" t="s">
        <v>43</v>
      </c>
      <c r="O459" t="s">
        <v>127</v>
      </c>
      <c r="P459" t="s">
        <v>26</v>
      </c>
      <c r="Q459" t="s">
        <v>68</v>
      </c>
    </row>
    <row r="460" spans="1:17" x14ac:dyDescent="0.3">
      <c r="A460" t="s">
        <v>1023</v>
      </c>
      <c r="B460" t="s">
        <v>1024</v>
      </c>
      <c r="C460" t="s">
        <v>63</v>
      </c>
      <c r="D460" t="s">
        <v>20</v>
      </c>
      <c r="E460" t="s">
        <v>31</v>
      </c>
      <c r="F460">
        <v>2022</v>
      </c>
      <c r="G460" t="s">
        <v>22</v>
      </c>
      <c r="H460">
        <v>144</v>
      </c>
      <c r="I460">
        <v>7.2</v>
      </c>
      <c r="J460">
        <v>604918</v>
      </c>
      <c r="K460">
        <v>16.489999999999998</v>
      </c>
      <c r="L460">
        <v>11.69</v>
      </c>
      <c r="M460" t="s">
        <v>33</v>
      </c>
      <c r="N460" t="s">
        <v>34</v>
      </c>
      <c r="O460" t="s">
        <v>245</v>
      </c>
      <c r="P460" t="s">
        <v>26</v>
      </c>
      <c r="Q460" t="s">
        <v>60</v>
      </c>
    </row>
    <row r="461" spans="1:17" x14ac:dyDescent="0.3">
      <c r="A461" t="s">
        <v>1025</v>
      </c>
      <c r="B461" t="s">
        <v>1026</v>
      </c>
      <c r="C461" t="s">
        <v>144</v>
      </c>
      <c r="D461" t="s">
        <v>20</v>
      </c>
      <c r="E461" t="s">
        <v>88</v>
      </c>
      <c r="F461">
        <v>2023</v>
      </c>
      <c r="G461" t="s">
        <v>50</v>
      </c>
      <c r="H461">
        <v>96</v>
      </c>
      <c r="I461">
        <v>6.7</v>
      </c>
      <c r="J461">
        <v>367175</v>
      </c>
      <c r="K461">
        <v>126.77</v>
      </c>
      <c r="L461">
        <v>56.86</v>
      </c>
      <c r="M461" t="s">
        <v>78</v>
      </c>
      <c r="N461" t="s">
        <v>34</v>
      </c>
      <c r="O461" t="s">
        <v>74</v>
      </c>
      <c r="P461" t="s">
        <v>26</v>
      </c>
      <c r="Q461" t="s">
        <v>36</v>
      </c>
    </row>
    <row r="462" spans="1:17" x14ac:dyDescent="0.3">
      <c r="A462" t="s">
        <v>1027</v>
      </c>
      <c r="B462" t="s">
        <v>1028</v>
      </c>
      <c r="C462" t="s">
        <v>48</v>
      </c>
      <c r="D462" t="s">
        <v>20</v>
      </c>
      <c r="E462" t="s">
        <v>31</v>
      </c>
      <c r="F462">
        <v>2024</v>
      </c>
      <c r="G462" t="s">
        <v>108</v>
      </c>
      <c r="H462">
        <v>95</v>
      </c>
      <c r="I462">
        <v>7.5</v>
      </c>
      <c r="J462">
        <v>791883</v>
      </c>
      <c r="K462">
        <v>825.09</v>
      </c>
      <c r="L462">
        <v>155.22</v>
      </c>
      <c r="M462" t="s">
        <v>78</v>
      </c>
      <c r="N462" t="s">
        <v>89</v>
      </c>
      <c r="O462" t="s">
        <v>25</v>
      </c>
      <c r="P462" t="s">
        <v>26</v>
      </c>
      <c r="Q462" t="s">
        <v>60</v>
      </c>
    </row>
    <row r="463" spans="1:17" x14ac:dyDescent="0.3">
      <c r="A463" t="s">
        <v>1029</v>
      </c>
      <c r="B463" t="s">
        <v>1030</v>
      </c>
      <c r="C463" t="s">
        <v>19</v>
      </c>
      <c r="D463" t="s">
        <v>87</v>
      </c>
      <c r="E463" t="s">
        <v>21</v>
      </c>
      <c r="F463">
        <v>2019</v>
      </c>
      <c r="G463" t="s">
        <v>96</v>
      </c>
      <c r="H463">
        <v>158</v>
      </c>
      <c r="I463">
        <v>7</v>
      </c>
      <c r="J463">
        <v>777564</v>
      </c>
      <c r="K463">
        <v>140.37</v>
      </c>
      <c r="L463">
        <v>128.19</v>
      </c>
      <c r="M463" t="s">
        <v>42</v>
      </c>
      <c r="N463" t="s">
        <v>179</v>
      </c>
      <c r="O463" t="s">
        <v>53</v>
      </c>
      <c r="P463" t="s">
        <v>26</v>
      </c>
      <c r="Q463" t="s">
        <v>54</v>
      </c>
    </row>
    <row r="464" spans="1:17" x14ac:dyDescent="0.3">
      <c r="A464" t="s">
        <v>1031</v>
      </c>
      <c r="B464" t="s">
        <v>1032</v>
      </c>
      <c r="C464" t="s">
        <v>86</v>
      </c>
      <c r="D464" t="s">
        <v>87</v>
      </c>
      <c r="E464" t="s">
        <v>88</v>
      </c>
      <c r="F464">
        <v>2024</v>
      </c>
      <c r="G464" t="s">
        <v>65</v>
      </c>
      <c r="H464">
        <v>175</v>
      </c>
      <c r="I464">
        <v>6.6</v>
      </c>
      <c r="J464">
        <v>591784</v>
      </c>
      <c r="K464">
        <v>266.42</v>
      </c>
      <c r="L464">
        <v>37.24</v>
      </c>
      <c r="M464" t="s">
        <v>42</v>
      </c>
      <c r="N464" t="s">
        <v>101</v>
      </c>
      <c r="O464" t="s">
        <v>245</v>
      </c>
      <c r="P464" t="s">
        <v>26</v>
      </c>
      <c r="Q464" t="s">
        <v>27</v>
      </c>
    </row>
    <row r="465" spans="1:17" x14ac:dyDescent="0.3">
      <c r="A465" t="s">
        <v>1033</v>
      </c>
      <c r="B465" t="s">
        <v>1034</v>
      </c>
      <c r="C465" t="s">
        <v>144</v>
      </c>
      <c r="D465" t="s">
        <v>20</v>
      </c>
      <c r="E465" t="s">
        <v>88</v>
      </c>
      <c r="F465">
        <v>2018</v>
      </c>
      <c r="G465" t="s">
        <v>113</v>
      </c>
      <c r="H465">
        <v>110</v>
      </c>
      <c r="I465">
        <v>7.3</v>
      </c>
      <c r="J465">
        <v>474840</v>
      </c>
      <c r="K465">
        <v>745.99</v>
      </c>
      <c r="L465">
        <v>216.07</v>
      </c>
      <c r="M465" t="s">
        <v>78</v>
      </c>
      <c r="N465" t="s">
        <v>109</v>
      </c>
      <c r="O465" t="s">
        <v>166</v>
      </c>
      <c r="P465" t="s">
        <v>45</v>
      </c>
      <c r="Q465" t="s">
        <v>36</v>
      </c>
    </row>
    <row r="466" spans="1:17" x14ac:dyDescent="0.3">
      <c r="A466" t="s">
        <v>1035</v>
      </c>
      <c r="B466" t="s">
        <v>1036</v>
      </c>
      <c r="C466" t="s">
        <v>144</v>
      </c>
      <c r="D466" t="s">
        <v>20</v>
      </c>
      <c r="E466" t="s">
        <v>88</v>
      </c>
      <c r="F466">
        <v>2015</v>
      </c>
      <c r="G466" t="s">
        <v>50</v>
      </c>
      <c r="H466">
        <v>96</v>
      </c>
      <c r="I466">
        <v>6.9</v>
      </c>
      <c r="J466">
        <v>630171</v>
      </c>
      <c r="K466">
        <v>175.6</v>
      </c>
      <c r="L466">
        <v>121.12</v>
      </c>
      <c r="M466" t="s">
        <v>23</v>
      </c>
      <c r="N466" t="s">
        <v>133</v>
      </c>
      <c r="O466" t="s">
        <v>245</v>
      </c>
      <c r="P466" t="s">
        <v>26</v>
      </c>
      <c r="Q466" t="s">
        <v>27</v>
      </c>
    </row>
    <row r="467" spans="1:17" x14ac:dyDescent="0.3">
      <c r="A467" t="s">
        <v>1037</v>
      </c>
      <c r="B467" t="s">
        <v>1038</v>
      </c>
      <c r="C467" t="s">
        <v>130</v>
      </c>
      <c r="D467" t="s">
        <v>20</v>
      </c>
      <c r="E467" t="s">
        <v>41</v>
      </c>
      <c r="F467">
        <v>2018</v>
      </c>
      <c r="G467" t="s">
        <v>77</v>
      </c>
      <c r="H467">
        <v>146</v>
      </c>
      <c r="I467">
        <v>7.1</v>
      </c>
      <c r="J467">
        <v>814005</v>
      </c>
      <c r="K467">
        <v>495.38</v>
      </c>
      <c r="L467">
        <v>83.18</v>
      </c>
      <c r="M467" t="s">
        <v>51</v>
      </c>
      <c r="N467" t="s">
        <v>119</v>
      </c>
      <c r="O467" t="s">
        <v>97</v>
      </c>
      <c r="P467" t="s">
        <v>26</v>
      </c>
      <c r="Q467" t="s">
        <v>36</v>
      </c>
    </row>
    <row r="468" spans="1:17" x14ac:dyDescent="0.3">
      <c r="A468" t="s">
        <v>1039</v>
      </c>
      <c r="B468" t="s">
        <v>1040</v>
      </c>
      <c r="C468" t="s">
        <v>19</v>
      </c>
      <c r="D468" t="s">
        <v>81</v>
      </c>
      <c r="E468" t="s">
        <v>88</v>
      </c>
      <c r="F468">
        <v>2024</v>
      </c>
      <c r="G468" t="s">
        <v>126</v>
      </c>
      <c r="H468">
        <v>112</v>
      </c>
      <c r="I468">
        <v>7</v>
      </c>
      <c r="J468">
        <v>394082</v>
      </c>
      <c r="K468">
        <v>1344.29</v>
      </c>
      <c r="L468">
        <v>191.9</v>
      </c>
      <c r="M468" t="s">
        <v>42</v>
      </c>
      <c r="N468" t="s">
        <v>34</v>
      </c>
      <c r="O468" t="s">
        <v>59</v>
      </c>
      <c r="P468" t="s">
        <v>26</v>
      </c>
      <c r="Q468" t="s">
        <v>27</v>
      </c>
    </row>
    <row r="469" spans="1:17" x14ac:dyDescent="0.3">
      <c r="A469" t="s">
        <v>1041</v>
      </c>
      <c r="B469" t="s">
        <v>1042</v>
      </c>
      <c r="C469" t="s">
        <v>39</v>
      </c>
      <c r="D469" t="s">
        <v>40</v>
      </c>
      <c r="E469" t="s">
        <v>92</v>
      </c>
      <c r="F469">
        <v>2020</v>
      </c>
      <c r="G469" t="s">
        <v>22</v>
      </c>
      <c r="H469">
        <v>85</v>
      </c>
      <c r="I469">
        <v>7.3</v>
      </c>
      <c r="J469">
        <v>770095</v>
      </c>
      <c r="K469">
        <v>44.43</v>
      </c>
      <c r="L469">
        <v>48.01</v>
      </c>
      <c r="M469" t="s">
        <v>42</v>
      </c>
      <c r="N469" t="s">
        <v>52</v>
      </c>
      <c r="O469" t="s">
        <v>141</v>
      </c>
      <c r="P469" t="s">
        <v>26</v>
      </c>
      <c r="Q469" t="s">
        <v>123</v>
      </c>
    </row>
    <row r="470" spans="1:17" x14ac:dyDescent="0.3">
      <c r="A470" t="s">
        <v>1043</v>
      </c>
      <c r="B470" t="s">
        <v>1044</v>
      </c>
      <c r="C470" t="s">
        <v>39</v>
      </c>
      <c r="D470" t="s">
        <v>171</v>
      </c>
      <c r="E470" t="s">
        <v>82</v>
      </c>
      <c r="F470">
        <v>2016</v>
      </c>
      <c r="G470" t="s">
        <v>96</v>
      </c>
      <c r="H470">
        <v>162</v>
      </c>
      <c r="I470">
        <v>7.7</v>
      </c>
      <c r="J470">
        <v>137017</v>
      </c>
      <c r="L470">
        <v>95.24</v>
      </c>
      <c r="M470" t="s">
        <v>172</v>
      </c>
      <c r="N470" t="s">
        <v>66</v>
      </c>
      <c r="O470" t="s">
        <v>199</v>
      </c>
      <c r="P470" t="s">
        <v>26</v>
      </c>
      <c r="Q470" t="s">
        <v>54</v>
      </c>
    </row>
    <row r="471" spans="1:17" x14ac:dyDescent="0.3">
      <c r="A471" t="s">
        <v>1045</v>
      </c>
      <c r="B471" t="s">
        <v>1046</v>
      </c>
      <c r="C471" t="s">
        <v>86</v>
      </c>
      <c r="D471" t="s">
        <v>20</v>
      </c>
      <c r="E471" t="s">
        <v>82</v>
      </c>
      <c r="F471">
        <v>2022</v>
      </c>
      <c r="G471" t="s">
        <v>22</v>
      </c>
      <c r="H471">
        <v>142</v>
      </c>
      <c r="I471">
        <v>6.6</v>
      </c>
      <c r="J471">
        <v>376967</v>
      </c>
      <c r="K471">
        <v>788.73</v>
      </c>
      <c r="L471">
        <v>194.14</v>
      </c>
      <c r="M471" t="s">
        <v>51</v>
      </c>
      <c r="N471" t="s">
        <v>133</v>
      </c>
      <c r="O471" t="s">
        <v>148</v>
      </c>
      <c r="P471" t="s">
        <v>26</v>
      </c>
      <c r="Q471" t="s">
        <v>68</v>
      </c>
    </row>
    <row r="472" spans="1:17" x14ac:dyDescent="0.3">
      <c r="A472" t="s">
        <v>1047</v>
      </c>
      <c r="B472" t="s">
        <v>1048</v>
      </c>
      <c r="C472" t="s">
        <v>19</v>
      </c>
      <c r="D472" t="s">
        <v>215</v>
      </c>
      <c r="E472" t="s">
        <v>41</v>
      </c>
      <c r="F472">
        <v>2021</v>
      </c>
      <c r="G472" t="s">
        <v>93</v>
      </c>
      <c r="H472">
        <v>183</v>
      </c>
      <c r="I472">
        <v>8</v>
      </c>
      <c r="J472">
        <v>142807</v>
      </c>
      <c r="K472">
        <v>1411.61</v>
      </c>
      <c r="L472">
        <v>191.93</v>
      </c>
      <c r="M472" t="s">
        <v>484</v>
      </c>
      <c r="N472" t="s">
        <v>34</v>
      </c>
      <c r="O472" t="s">
        <v>166</v>
      </c>
      <c r="P472" t="s">
        <v>26</v>
      </c>
      <c r="Q472" t="s">
        <v>68</v>
      </c>
    </row>
    <row r="473" spans="1:17" x14ac:dyDescent="0.3">
      <c r="A473" t="s">
        <v>1049</v>
      </c>
      <c r="B473" t="s">
        <v>1050</v>
      </c>
      <c r="C473" t="s">
        <v>39</v>
      </c>
      <c r="D473" t="s">
        <v>40</v>
      </c>
      <c r="E473" t="s">
        <v>41</v>
      </c>
      <c r="F473">
        <v>2021</v>
      </c>
      <c r="G473" t="s">
        <v>100</v>
      </c>
      <c r="H473">
        <v>123</v>
      </c>
      <c r="I473">
        <v>8.4</v>
      </c>
      <c r="J473">
        <v>247698</v>
      </c>
      <c r="K473">
        <v>496.84</v>
      </c>
      <c r="L473">
        <v>75.760000000000005</v>
      </c>
      <c r="M473" t="s">
        <v>42</v>
      </c>
      <c r="N473" t="s">
        <v>66</v>
      </c>
      <c r="O473" t="s">
        <v>59</v>
      </c>
      <c r="P473" t="s">
        <v>26</v>
      </c>
      <c r="Q473" t="s">
        <v>68</v>
      </c>
    </row>
    <row r="474" spans="1:17" x14ac:dyDescent="0.3">
      <c r="A474" t="s">
        <v>1051</v>
      </c>
      <c r="B474" t="s">
        <v>1052</v>
      </c>
      <c r="C474" t="s">
        <v>116</v>
      </c>
      <c r="D474" t="s">
        <v>87</v>
      </c>
      <c r="E474" t="s">
        <v>41</v>
      </c>
      <c r="F474">
        <v>2018</v>
      </c>
      <c r="G474" t="s">
        <v>22</v>
      </c>
      <c r="H474">
        <v>135</v>
      </c>
      <c r="I474">
        <v>6.9</v>
      </c>
      <c r="J474">
        <v>646719</v>
      </c>
      <c r="K474">
        <v>1075.01</v>
      </c>
      <c r="L474">
        <v>249.28</v>
      </c>
      <c r="M474" t="s">
        <v>42</v>
      </c>
      <c r="N474" t="s">
        <v>43</v>
      </c>
      <c r="O474" t="s">
        <v>44</v>
      </c>
      <c r="P474" t="s">
        <v>26</v>
      </c>
      <c r="Q474" t="s">
        <v>54</v>
      </c>
    </row>
    <row r="475" spans="1:17" x14ac:dyDescent="0.3">
      <c r="A475" t="s">
        <v>1053</v>
      </c>
      <c r="B475" t="s">
        <v>1054</v>
      </c>
      <c r="C475" t="s">
        <v>116</v>
      </c>
      <c r="D475" t="s">
        <v>20</v>
      </c>
      <c r="E475" t="s">
        <v>41</v>
      </c>
      <c r="F475">
        <v>2020</v>
      </c>
      <c r="G475" t="s">
        <v>96</v>
      </c>
      <c r="H475">
        <v>140</v>
      </c>
      <c r="I475">
        <v>7.5</v>
      </c>
      <c r="J475">
        <v>618276</v>
      </c>
      <c r="K475">
        <v>134.43</v>
      </c>
      <c r="L475">
        <v>101.31</v>
      </c>
      <c r="M475" t="s">
        <v>78</v>
      </c>
      <c r="N475" t="s">
        <v>24</v>
      </c>
      <c r="O475" t="s">
        <v>136</v>
      </c>
      <c r="P475" t="s">
        <v>26</v>
      </c>
      <c r="Q475" t="s">
        <v>54</v>
      </c>
    </row>
    <row r="476" spans="1:17" x14ac:dyDescent="0.3">
      <c r="A476" t="s">
        <v>1055</v>
      </c>
      <c r="B476" t="s">
        <v>1056</v>
      </c>
      <c r="C476" t="s">
        <v>19</v>
      </c>
      <c r="D476" t="s">
        <v>81</v>
      </c>
      <c r="E476" t="s">
        <v>82</v>
      </c>
      <c r="F476">
        <v>2017</v>
      </c>
      <c r="G476" t="s">
        <v>126</v>
      </c>
      <c r="H476">
        <v>180</v>
      </c>
      <c r="I476">
        <v>7.5</v>
      </c>
      <c r="J476">
        <v>586053</v>
      </c>
      <c r="K476">
        <v>158.18</v>
      </c>
      <c r="L476">
        <v>104.97</v>
      </c>
      <c r="M476" t="s">
        <v>42</v>
      </c>
      <c r="N476" t="s">
        <v>145</v>
      </c>
      <c r="O476" t="s">
        <v>59</v>
      </c>
      <c r="P476" t="s">
        <v>26</v>
      </c>
      <c r="Q476" t="s">
        <v>152</v>
      </c>
    </row>
    <row r="477" spans="1:17" x14ac:dyDescent="0.3">
      <c r="A477" t="s">
        <v>1057</v>
      </c>
      <c r="B477" t="s">
        <v>1058</v>
      </c>
      <c r="C477" t="s">
        <v>39</v>
      </c>
      <c r="D477" t="s">
        <v>57</v>
      </c>
      <c r="E477" t="s">
        <v>88</v>
      </c>
      <c r="F477">
        <v>2020</v>
      </c>
      <c r="G477" t="s">
        <v>93</v>
      </c>
      <c r="H477">
        <v>123</v>
      </c>
      <c r="I477">
        <v>7.8</v>
      </c>
      <c r="J477">
        <v>652979</v>
      </c>
      <c r="K477">
        <v>922.63</v>
      </c>
      <c r="L477">
        <v>156.56</v>
      </c>
      <c r="M477" t="s">
        <v>58</v>
      </c>
      <c r="N477" t="s">
        <v>52</v>
      </c>
      <c r="O477" t="s">
        <v>59</v>
      </c>
      <c r="P477" t="s">
        <v>26</v>
      </c>
      <c r="Q477" t="s">
        <v>54</v>
      </c>
    </row>
    <row r="478" spans="1:17" x14ac:dyDescent="0.3">
      <c r="A478" t="s">
        <v>1059</v>
      </c>
      <c r="B478" t="s">
        <v>1060</v>
      </c>
      <c r="C478" t="s">
        <v>130</v>
      </c>
      <c r="D478" t="s">
        <v>20</v>
      </c>
      <c r="E478" t="s">
        <v>21</v>
      </c>
      <c r="F478">
        <v>2015</v>
      </c>
      <c r="G478" t="s">
        <v>96</v>
      </c>
      <c r="H478">
        <v>183</v>
      </c>
      <c r="I478">
        <v>7</v>
      </c>
      <c r="J478">
        <v>465278</v>
      </c>
      <c r="K478">
        <v>472.43</v>
      </c>
      <c r="L478">
        <v>63.3</v>
      </c>
      <c r="M478" t="s">
        <v>23</v>
      </c>
      <c r="N478" t="s">
        <v>89</v>
      </c>
      <c r="O478" t="s">
        <v>199</v>
      </c>
      <c r="P478" t="s">
        <v>45</v>
      </c>
      <c r="Q478" t="s">
        <v>123</v>
      </c>
    </row>
    <row r="479" spans="1:17" x14ac:dyDescent="0.3">
      <c r="A479" t="s">
        <v>1061</v>
      </c>
      <c r="B479" t="s">
        <v>1062</v>
      </c>
      <c r="C479" t="s">
        <v>39</v>
      </c>
      <c r="D479" t="s">
        <v>87</v>
      </c>
      <c r="E479" t="s">
        <v>139</v>
      </c>
      <c r="F479">
        <v>2018</v>
      </c>
      <c r="G479" t="s">
        <v>65</v>
      </c>
      <c r="H479">
        <v>110</v>
      </c>
      <c r="I479">
        <v>8.3000000000000007</v>
      </c>
      <c r="J479">
        <v>117135</v>
      </c>
      <c r="K479">
        <v>1004.43</v>
      </c>
      <c r="L479">
        <v>217.74</v>
      </c>
      <c r="M479" t="s">
        <v>42</v>
      </c>
      <c r="N479" t="s">
        <v>133</v>
      </c>
      <c r="O479" t="s">
        <v>127</v>
      </c>
      <c r="P479" t="s">
        <v>26</v>
      </c>
      <c r="Q479" t="s">
        <v>123</v>
      </c>
    </row>
    <row r="480" spans="1:17" x14ac:dyDescent="0.3">
      <c r="A480" t="s">
        <v>1063</v>
      </c>
      <c r="B480" t="s">
        <v>1064</v>
      </c>
      <c r="C480" t="s">
        <v>39</v>
      </c>
      <c r="D480" t="s">
        <v>40</v>
      </c>
      <c r="E480" t="s">
        <v>88</v>
      </c>
      <c r="F480">
        <v>2024</v>
      </c>
      <c r="G480" t="s">
        <v>32</v>
      </c>
      <c r="H480">
        <v>102</v>
      </c>
      <c r="I480">
        <v>7.7</v>
      </c>
      <c r="J480">
        <v>439970</v>
      </c>
      <c r="K480">
        <v>312.61</v>
      </c>
      <c r="L480">
        <v>208</v>
      </c>
      <c r="M480" t="s">
        <v>42</v>
      </c>
      <c r="N480" t="s">
        <v>140</v>
      </c>
      <c r="O480" t="s">
        <v>199</v>
      </c>
      <c r="P480" t="s">
        <v>26</v>
      </c>
      <c r="Q480" t="s">
        <v>27</v>
      </c>
    </row>
    <row r="481" spans="1:17" x14ac:dyDescent="0.3">
      <c r="A481" t="s">
        <v>1065</v>
      </c>
      <c r="B481" t="s">
        <v>1066</v>
      </c>
      <c r="C481" t="s">
        <v>39</v>
      </c>
      <c r="D481" t="s">
        <v>20</v>
      </c>
      <c r="E481" t="s">
        <v>31</v>
      </c>
      <c r="F481">
        <v>2020</v>
      </c>
      <c r="G481" t="s">
        <v>100</v>
      </c>
      <c r="H481">
        <v>101</v>
      </c>
      <c r="I481">
        <v>7</v>
      </c>
      <c r="J481">
        <v>108497</v>
      </c>
      <c r="K481">
        <v>460.75</v>
      </c>
      <c r="L481">
        <v>97.12</v>
      </c>
      <c r="M481" t="s">
        <v>23</v>
      </c>
      <c r="N481" t="s">
        <v>43</v>
      </c>
      <c r="O481" t="s">
        <v>53</v>
      </c>
      <c r="P481" t="s">
        <v>26</v>
      </c>
      <c r="Q481" t="s">
        <v>54</v>
      </c>
    </row>
    <row r="482" spans="1:17" x14ac:dyDescent="0.3">
      <c r="A482" t="s">
        <v>1067</v>
      </c>
      <c r="B482" t="s">
        <v>1068</v>
      </c>
      <c r="C482" t="s">
        <v>39</v>
      </c>
      <c r="D482" t="s">
        <v>81</v>
      </c>
      <c r="E482" t="s">
        <v>82</v>
      </c>
      <c r="F482">
        <v>2017</v>
      </c>
      <c r="G482" t="s">
        <v>113</v>
      </c>
      <c r="H482">
        <v>102</v>
      </c>
      <c r="I482">
        <v>7.6</v>
      </c>
      <c r="J482">
        <v>836541</v>
      </c>
      <c r="K482">
        <v>21.41</v>
      </c>
      <c r="L482">
        <v>12.93</v>
      </c>
      <c r="M482" t="s">
        <v>42</v>
      </c>
      <c r="N482" t="s">
        <v>101</v>
      </c>
      <c r="O482" t="s">
        <v>74</v>
      </c>
      <c r="P482" t="s">
        <v>26</v>
      </c>
      <c r="Q482" t="s">
        <v>60</v>
      </c>
    </row>
    <row r="483" spans="1:17" x14ac:dyDescent="0.3">
      <c r="A483" t="s">
        <v>1069</v>
      </c>
      <c r="B483" t="s">
        <v>1070</v>
      </c>
      <c r="C483" t="s">
        <v>39</v>
      </c>
      <c r="D483" t="s">
        <v>20</v>
      </c>
      <c r="E483" t="s">
        <v>139</v>
      </c>
      <c r="F483">
        <v>2016</v>
      </c>
      <c r="G483" t="s">
        <v>100</v>
      </c>
      <c r="H483">
        <v>96</v>
      </c>
      <c r="I483">
        <v>7.8</v>
      </c>
      <c r="J483">
        <v>415307</v>
      </c>
      <c r="K483">
        <v>1115.0999999999999</v>
      </c>
      <c r="L483">
        <v>175.21</v>
      </c>
      <c r="M483" t="s">
        <v>78</v>
      </c>
      <c r="N483" t="s">
        <v>66</v>
      </c>
      <c r="O483" t="s">
        <v>25</v>
      </c>
      <c r="P483" t="s">
        <v>26</v>
      </c>
      <c r="Q483" t="s">
        <v>60</v>
      </c>
    </row>
    <row r="484" spans="1:17" x14ac:dyDescent="0.3">
      <c r="A484" t="s">
        <v>1071</v>
      </c>
      <c r="B484" t="s">
        <v>1072</v>
      </c>
      <c r="C484" t="s">
        <v>112</v>
      </c>
      <c r="D484" t="s">
        <v>215</v>
      </c>
      <c r="E484" t="s">
        <v>31</v>
      </c>
      <c r="F484">
        <v>2016</v>
      </c>
      <c r="G484" t="s">
        <v>126</v>
      </c>
      <c r="H484">
        <v>181</v>
      </c>
      <c r="I484">
        <v>6.7</v>
      </c>
      <c r="J484">
        <v>13826</v>
      </c>
      <c r="K484">
        <v>612.88</v>
      </c>
      <c r="L484">
        <v>173.9</v>
      </c>
      <c r="M484" t="s">
        <v>216</v>
      </c>
      <c r="N484" t="s">
        <v>133</v>
      </c>
      <c r="O484" t="s">
        <v>74</v>
      </c>
      <c r="P484" t="s">
        <v>26</v>
      </c>
      <c r="Q484" t="s">
        <v>36</v>
      </c>
    </row>
    <row r="485" spans="1:17" x14ac:dyDescent="0.3">
      <c r="A485" t="s">
        <v>1073</v>
      </c>
      <c r="B485" t="s">
        <v>1074</v>
      </c>
      <c r="C485" t="s">
        <v>86</v>
      </c>
      <c r="D485" t="s">
        <v>87</v>
      </c>
      <c r="E485" t="s">
        <v>88</v>
      </c>
      <c r="F485">
        <v>2022</v>
      </c>
      <c r="G485" t="s">
        <v>93</v>
      </c>
      <c r="H485">
        <v>149</v>
      </c>
      <c r="I485">
        <v>7.7</v>
      </c>
      <c r="J485">
        <v>681921</v>
      </c>
      <c r="K485">
        <v>616.69000000000005</v>
      </c>
      <c r="L485">
        <v>94.74</v>
      </c>
      <c r="M485" t="s">
        <v>42</v>
      </c>
      <c r="N485" t="s">
        <v>89</v>
      </c>
      <c r="O485" t="s">
        <v>105</v>
      </c>
      <c r="P485" t="s">
        <v>26</v>
      </c>
      <c r="Q485" t="s">
        <v>36</v>
      </c>
    </row>
    <row r="486" spans="1:17" x14ac:dyDescent="0.3">
      <c r="A486" t="s">
        <v>1075</v>
      </c>
      <c r="B486" t="s">
        <v>1076</v>
      </c>
      <c r="C486" t="s">
        <v>112</v>
      </c>
      <c r="D486" t="s">
        <v>72</v>
      </c>
      <c r="E486" t="s">
        <v>41</v>
      </c>
      <c r="F486">
        <v>2021</v>
      </c>
      <c r="G486" t="s">
        <v>77</v>
      </c>
      <c r="H486">
        <v>143</v>
      </c>
      <c r="I486">
        <v>7.2</v>
      </c>
      <c r="J486">
        <v>710891</v>
      </c>
      <c r="K486">
        <v>652.74</v>
      </c>
      <c r="L486">
        <v>131.12</v>
      </c>
      <c r="M486" t="s">
        <v>42</v>
      </c>
      <c r="N486" t="s">
        <v>73</v>
      </c>
      <c r="O486" t="s">
        <v>97</v>
      </c>
      <c r="P486" t="s">
        <v>26</v>
      </c>
      <c r="Q486" t="s">
        <v>60</v>
      </c>
    </row>
    <row r="487" spans="1:17" x14ac:dyDescent="0.3">
      <c r="A487" t="s">
        <v>1077</v>
      </c>
      <c r="B487" t="s">
        <v>1078</v>
      </c>
      <c r="C487" t="s">
        <v>63</v>
      </c>
      <c r="D487" t="s">
        <v>57</v>
      </c>
      <c r="E487" t="s">
        <v>208</v>
      </c>
      <c r="F487">
        <v>2021</v>
      </c>
      <c r="G487" t="s">
        <v>108</v>
      </c>
      <c r="H487">
        <v>89</v>
      </c>
      <c r="I487">
        <v>6.3</v>
      </c>
      <c r="J487">
        <v>389784</v>
      </c>
      <c r="K487">
        <v>557.33000000000004</v>
      </c>
      <c r="L487">
        <v>94.26</v>
      </c>
      <c r="M487" t="s">
        <v>58</v>
      </c>
      <c r="N487" t="s">
        <v>101</v>
      </c>
      <c r="O487" t="s">
        <v>74</v>
      </c>
      <c r="P487" t="s">
        <v>26</v>
      </c>
      <c r="Q487" t="s">
        <v>54</v>
      </c>
    </row>
    <row r="488" spans="1:17" x14ac:dyDescent="0.3">
      <c r="A488" t="s">
        <v>1079</v>
      </c>
      <c r="B488" t="s">
        <v>1080</v>
      </c>
      <c r="C488" t="s">
        <v>144</v>
      </c>
      <c r="D488" t="s">
        <v>20</v>
      </c>
      <c r="E488" t="s">
        <v>88</v>
      </c>
      <c r="F488">
        <v>2019</v>
      </c>
      <c r="G488" t="s">
        <v>113</v>
      </c>
      <c r="H488">
        <v>119</v>
      </c>
      <c r="J488">
        <v>85291</v>
      </c>
      <c r="K488">
        <v>85.33</v>
      </c>
      <c r="L488">
        <v>36.32</v>
      </c>
      <c r="M488" t="s">
        <v>23</v>
      </c>
      <c r="N488" t="s">
        <v>24</v>
      </c>
      <c r="O488" t="s">
        <v>151</v>
      </c>
      <c r="P488" t="s">
        <v>26</v>
      </c>
      <c r="Q488" t="s">
        <v>27</v>
      </c>
    </row>
    <row r="489" spans="1:17" x14ac:dyDescent="0.3">
      <c r="A489" t="s">
        <v>446</v>
      </c>
      <c r="B489" t="s">
        <v>447</v>
      </c>
      <c r="C489" t="s">
        <v>39</v>
      </c>
      <c r="D489" t="s">
        <v>40</v>
      </c>
      <c r="E489" t="s">
        <v>41</v>
      </c>
      <c r="F489">
        <v>2018</v>
      </c>
      <c r="G489" t="s">
        <v>155</v>
      </c>
      <c r="H489">
        <v>145</v>
      </c>
      <c r="I489">
        <v>7</v>
      </c>
      <c r="J489">
        <v>729331</v>
      </c>
      <c r="K489">
        <v>682.45</v>
      </c>
      <c r="L489">
        <v>173.58</v>
      </c>
      <c r="M489" t="s">
        <v>42</v>
      </c>
      <c r="N489" t="s">
        <v>119</v>
      </c>
      <c r="O489" t="s">
        <v>136</v>
      </c>
      <c r="P489" t="s">
        <v>45</v>
      </c>
      <c r="Q489" t="s">
        <v>54</v>
      </c>
    </row>
    <row r="490" spans="1:17" x14ac:dyDescent="0.3">
      <c r="A490" t="s">
        <v>1081</v>
      </c>
      <c r="B490" t="s">
        <v>1082</v>
      </c>
      <c r="C490" t="s">
        <v>30</v>
      </c>
      <c r="D490" t="s">
        <v>20</v>
      </c>
      <c r="E490" t="s">
        <v>88</v>
      </c>
      <c r="F490">
        <v>2018</v>
      </c>
      <c r="G490" t="s">
        <v>155</v>
      </c>
      <c r="H490">
        <v>117</v>
      </c>
      <c r="I490">
        <v>8.3000000000000007</v>
      </c>
      <c r="J490">
        <v>84753</v>
      </c>
      <c r="K490">
        <v>187.61</v>
      </c>
      <c r="L490">
        <v>54.22</v>
      </c>
      <c r="M490" t="s">
        <v>51</v>
      </c>
      <c r="N490" t="s">
        <v>43</v>
      </c>
      <c r="O490" t="s">
        <v>67</v>
      </c>
      <c r="P490" t="s">
        <v>45</v>
      </c>
      <c r="Q490" t="s">
        <v>152</v>
      </c>
    </row>
    <row r="491" spans="1:17" x14ac:dyDescent="0.3">
      <c r="A491" t="s">
        <v>1083</v>
      </c>
      <c r="B491" t="s">
        <v>1084</v>
      </c>
      <c r="C491" t="s">
        <v>30</v>
      </c>
      <c r="D491" t="s">
        <v>20</v>
      </c>
      <c r="E491" t="s">
        <v>88</v>
      </c>
      <c r="F491">
        <v>2021</v>
      </c>
      <c r="G491" t="s">
        <v>50</v>
      </c>
      <c r="H491">
        <v>137</v>
      </c>
      <c r="I491">
        <v>7.6</v>
      </c>
      <c r="J491">
        <v>942489</v>
      </c>
      <c r="K491">
        <v>753.78</v>
      </c>
      <c r="L491">
        <v>115.77</v>
      </c>
      <c r="M491" t="s">
        <v>78</v>
      </c>
      <c r="N491" t="s">
        <v>73</v>
      </c>
      <c r="O491" t="s">
        <v>59</v>
      </c>
      <c r="P491" t="s">
        <v>26</v>
      </c>
      <c r="Q491" t="s">
        <v>68</v>
      </c>
    </row>
    <row r="492" spans="1:17" x14ac:dyDescent="0.3">
      <c r="A492" t="s">
        <v>1085</v>
      </c>
      <c r="B492" t="s">
        <v>1086</v>
      </c>
      <c r="C492" t="s">
        <v>30</v>
      </c>
      <c r="D492" t="s">
        <v>64</v>
      </c>
      <c r="E492" t="s">
        <v>82</v>
      </c>
      <c r="F492">
        <v>2024</v>
      </c>
      <c r="G492" t="s">
        <v>108</v>
      </c>
      <c r="H492">
        <v>96</v>
      </c>
      <c r="I492">
        <v>7.6</v>
      </c>
      <c r="J492">
        <v>910466</v>
      </c>
      <c r="K492">
        <v>403.07</v>
      </c>
      <c r="L492">
        <v>132.27000000000001</v>
      </c>
      <c r="M492" t="s">
        <v>42</v>
      </c>
      <c r="N492" t="s">
        <v>43</v>
      </c>
      <c r="O492" t="s">
        <v>35</v>
      </c>
      <c r="P492" t="s">
        <v>26</v>
      </c>
      <c r="Q492" t="s">
        <v>123</v>
      </c>
    </row>
    <row r="493" spans="1:17" x14ac:dyDescent="0.3">
      <c r="A493" t="s">
        <v>1087</v>
      </c>
      <c r="B493" t="s">
        <v>1088</v>
      </c>
      <c r="C493" t="s">
        <v>104</v>
      </c>
      <c r="D493" t="s">
        <v>211</v>
      </c>
      <c r="E493" t="s">
        <v>88</v>
      </c>
      <c r="F493">
        <v>2021</v>
      </c>
      <c r="G493" t="s">
        <v>113</v>
      </c>
      <c r="H493">
        <v>117</v>
      </c>
      <c r="I493">
        <v>7.5</v>
      </c>
      <c r="J493">
        <v>472435</v>
      </c>
      <c r="L493">
        <v>212.09</v>
      </c>
      <c r="M493" t="s">
        <v>212</v>
      </c>
      <c r="N493" t="s">
        <v>73</v>
      </c>
      <c r="O493" t="s">
        <v>44</v>
      </c>
      <c r="P493" t="s">
        <v>26</v>
      </c>
      <c r="Q493" t="s">
        <v>123</v>
      </c>
    </row>
    <row r="494" spans="1:17" x14ac:dyDescent="0.3">
      <c r="A494" t="s">
        <v>1089</v>
      </c>
      <c r="B494" t="s">
        <v>1090</v>
      </c>
      <c r="C494" t="s">
        <v>130</v>
      </c>
      <c r="D494" t="s">
        <v>20</v>
      </c>
      <c r="E494" t="s">
        <v>49</v>
      </c>
      <c r="F494">
        <v>2016</v>
      </c>
      <c r="G494" t="s">
        <v>50</v>
      </c>
      <c r="H494">
        <v>121</v>
      </c>
      <c r="I494">
        <v>7.4</v>
      </c>
      <c r="J494">
        <v>550668</v>
      </c>
      <c r="K494">
        <v>22.93</v>
      </c>
      <c r="L494">
        <v>19.350000000000001</v>
      </c>
      <c r="M494" t="s">
        <v>51</v>
      </c>
      <c r="N494" t="s">
        <v>133</v>
      </c>
      <c r="O494" t="s">
        <v>136</v>
      </c>
      <c r="P494" t="s">
        <v>26</v>
      </c>
      <c r="Q494" t="s">
        <v>27</v>
      </c>
    </row>
    <row r="495" spans="1:17" x14ac:dyDescent="0.3">
      <c r="A495" t="s">
        <v>1091</v>
      </c>
      <c r="B495" t="s">
        <v>1092</v>
      </c>
      <c r="C495" t="s">
        <v>39</v>
      </c>
      <c r="D495" t="s">
        <v>40</v>
      </c>
      <c r="E495" t="s">
        <v>41</v>
      </c>
      <c r="F495">
        <v>2018</v>
      </c>
      <c r="G495" t="s">
        <v>93</v>
      </c>
      <c r="H495">
        <v>179</v>
      </c>
      <c r="I495">
        <v>8.1999999999999993</v>
      </c>
      <c r="J495">
        <v>572658</v>
      </c>
      <c r="K495">
        <v>85.45</v>
      </c>
      <c r="L495">
        <v>23.56</v>
      </c>
      <c r="M495" t="s">
        <v>42</v>
      </c>
      <c r="N495" t="s">
        <v>43</v>
      </c>
      <c r="O495" t="s">
        <v>151</v>
      </c>
      <c r="P495" t="s">
        <v>26</v>
      </c>
      <c r="Q495" t="s">
        <v>60</v>
      </c>
    </row>
    <row r="496" spans="1:17" x14ac:dyDescent="0.3">
      <c r="A496" t="s">
        <v>1093</v>
      </c>
      <c r="B496" t="s">
        <v>1094</v>
      </c>
      <c r="C496" t="s">
        <v>39</v>
      </c>
      <c r="D496" t="s">
        <v>81</v>
      </c>
      <c r="E496" t="s">
        <v>41</v>
      </c>
      <c r="F496">
        <v>2016</v>
      </c>
      <c r="G496" t="s">
        <v>155</v>
      </c>
      <c r="H496">
        <v>90</v>
      </c>
      <c r="I496">
        <v>8.5</v>
      </c>
      <c r="J496">
        <v>791670</v>
      </c>
      <c r="K496">
        <v>23.83</v>
      </c>
      <c r="L496">
        <v>9.6999999999999993</v>
      </c>
      <c r="M496" t="s">
        <v>42</v>
      </c>
      <c r="N496" t="s">
        <v>83</v>
      </c>
      <c r="O496" t="s">
        <v>105</v>
      </c>
      <c r="P496" t="s">
        <v>26</v>
      </c>
      <c r="Q496" t="s">
        <v>36</v>
      </c>
    </row>
    <row r="497" spans="1:17" x14ac:dyDescent="0.3">
      <c r="A497" t="s">
        <v>1095</v>
      </c>
      <c r="B497" t="s">
        <v>1096</v>
      </c>
      <c r="C497" t="s">
        <v>144</v>
      </c>
      <c r="D497" t="s">
        <v>211</v>
      </c>
      <c r="E497" t="s">
        <v>88</v>
      </c>
      <c r="F497">
        <v>2023</v>
      </c>
      <c r="G497" t="s">
        <v>113</v>
      </c>
      <c r="H497">
        <v>100</v>
      </c>
      <c r="I497">
        <v>5.9</v>
      </c>
      <c r="J497">
        <v>700805</v>
      </c>
      <c r="K497">
        <v>607.73</v>
      </c>
      <c r="L497">
        <v>133.72</v>
      </c>
      <c r="M497" t="s">
        <v>212</v>
      </c>
      <c r="N497" t="s">
        <v>52</v>
      </c>
      <c r="O497" t="s">
        <v>59</v>
      </c>
      <c r="P497" t="s">
        <v>45</v>
      </c>
      <c r="Q497" t="s">
        <v>68</v>
      </c>
    </row>
    <row r="498" spans="1:17" x14ac:dyDescent="0.3">
      <c r="A498" t="s">
        <v>1097</v>
      </c>
      <c r="B498" t="s">
        <v>1098</v>
      </c>
      <c r="C498" t="s">
        <v>130</v>
      </c>
      <c r="D498" t="s">
        <v>20</v>
      </c>
      <c r="E498" t="s">
        <v>41</v>
      </c>
      <c r="F498">
        <v>2022</v>
      </c>
      <c r="G498" t="s">
        <v>155</v>
      </c>
      <c r="H498">
        <v>117</v>
      </c>
      <c r="I498">
        <v>7.2</v>
      </c>
      <c r="J498">
        <v>354287</v>
      </c>
      <c r="K498">
        <v>912.13</v>
      </c>
      <c r="L498">
        <v>198.11</v>
      </c>
      <c r="M498" t="s">
        <v>23</v>
      </c>
      <c r="N498" t="s">
        <v>133</v>
      </c>
      <c r="O498" t="s">
        <v>166</v>
      </c>
      <c r="P498" t="s">
        <v>26</v>
      </c>
      <c r="Q498" t="s">
        <v>60</v>
      </c>
    </row>
    <row r="499" spans="1:17" x14ac:dyDescent="0.3">
      <c r="A499" t="s">
        <v>1099</v>
      </c>
      <c r="B499" t="s">
        <v>1100</v>
      </c>
      <c r="C499" t="s">
        <v>86</v>
      </c>
      <c r="D499" t="s">
        <v>87</v>
      </c>
      <c r="E499" t="s">
        <v>88</v>
      </c>
      <c r="F499">
        <v>2015</v>
      </c>
      <c r="G499" t="s">
        <v>22</v>
      </c>
      <c r="H499">
        <v>113</v>
      </c>
      <c r="I499">
        <v>8.1</v>
      </c>
      <c r="J499">
        <v>727694</v>
      </c>
      <c r="K499">
        <v>294.38</v>
      </c>
      <c r="L499">
        <v>59.11</v>
      </c>
      <c r="M499" t="s">
        <v>42</v>
      </c>
      <c r="N499" t="s">
        <v>89</v>
      </c>
      <c r="O499" t="s">
        <v>136</v>
      </c>
      <c r="P499" t="s">
        <v>26</v>
      </c>
      <c r="Q499" t="s">
        <v>36</v>
      </c>
    </row>
    <row r="500" spans="1:17" x14ac:dyDescent="0.3">
      <c r="A500" t="s">
        <v>1101</v>
      </c>
      <c r="B500" t="s">
        <v>1102</v>
      </c>
      <c r="C500" t="s">
        <v>63</v>
      </c>
      <c r="D500" t="s">
        <v>57</v>
      </c>
      <c r="E500" t="s">
        <v>208</v>
      </c>
      <c r="F500">
        <v>2020</v>
      </c>
      <c r="G500" t="s">
        <v>50</v>
      </c>
      <c r="H500">
        <v>103</v>
      </c>
      <c r="I500">
        <v>7.2</v>
      </c>
      <c r="J500">
        <v>715719</v>
      </c>
      <c r="K500">
        <v>384.95</v>
      </c>
      <c r="L500">
        <v>198.54</v>
      </c>
      <c r="M500" t="s">
        <v>58</v>
      </c>
      <c r="N500" t="s">
        <v>83</v>
      </c>
      <c r="O500" t="s">
        <v>166</v>
      </c>
      <c r="P500" t="s">
        <v>45</v>
      </c>
      <c r="Q500" t="s">
        <v>123</v>
      </c>
    </row>
    <row r="501" spans="1:17" x14ac:dyDescent="0.3">
      <c r="A501" t="s">
        <v>1103</v>
      </c>
      <c r="B501" t="s">
        <v>1104</v>
      </c>
      <c r="C501" t="s">
        <v>86</v>
      </c>
      <c r="D501" t="s">
        <v>20</v>
      </c>
      <c r="E501" t="s">
        <v>88</v>
      </c>
      <c r="F501">
        <v>2022</v>
      </c>
      <c r="G501" t="s">
        <v>65</v>
      </c>
      <c r="H501">
        <v>107</v>
      </c>
      <c r="I501">
        <v>7.6</v>
      </c>
      <c r="J501">
        <v>442796</v>
      </c>
      <c r="K501">
        <v>940.51</v>
      </c>
      <c r="L501">
        <v>125.9</v>
      </c>
      <c r="M501" t="s">
        <v>78</v>
      </c>
      <c r="N501" t="s">
        <v>52</v>
      </c>
      <c r="O501" t="s">
        <v>67</v>
      </c>
      <c r="P501" t="s">
        <v>26</v>
      </c>
      <c r="Q501" t="s">
        <v>54</v>
      </c>
    </row>
    <row r="502" spans="1:17" x14ac:dyDescent="0.3">
      <c r="A502" t="s">
        <v>1105</v>
      </c>
      <c r="B502" t="s">
        <v>1106</v>
      </c>
      <c r="C502" t="s">
        <v>19</v>
      </c>
      <c r="D502" t="s">
        <v>20</v>
      </c>
      <c r="E502" t="s">
        <v>192</v>
      </c>
      <c r="F502">
        <v>2018</v>
      </c>
      <c r="G502" t="s">
        <v>65</v>
      </c>
      <c r="H502">
        <v>115</v>
      </c>
      <c r="I502">
        <v>8.5</v>
      </c>
      <c r="J502">
        <v>90614</v>
      </c>
      <c r="K502">
        <v>1150.1199999999999</v>
      </c>
      <c r="L502">
        <v>183.51</v>
      </c>
      <c r="M502" t="s">
        <v>23</v>
      </c>
      <c r="N502" t="s">
        <v>133</v>
      </c>
      <c r="O502" t="s">
        <v>67</v>
      </c>
      <c r="P502" t="s">
        <v>45</v>
      </c>
      <c r="Q502" t="s">
        <v>36</v>
      </c>
    </row>
    <row r="503" spans="1:17" x14ac:dyDescent="0.3">
      <c r="A503" t="s">
        <v>1107</v>
      </c>
      <c r="B503" t="s">
        <v>1108</v>
      </c>
      <c r="C503" t="s">
        <v>30</v>
      </c>
      <c r="D503" t="s">
        <v>20</v>
      </c>
      <c r="E503" t="s">
        <v>49</v>
      </c>
      <c r="F503">
        <v>2022</v>
      </c>
      <c r="G503" t="s">
        <v>100</v>
      </c>
      <c r="H503">
        <v>157</v>
      </c>
      <c r="I503">
        <v>8.1</v>
      </c>
      <c r="J503">
        <v>180879</v>
      </c>
      <c r="K503">
        <v>458.65</v>
      </c>
      <c r="L503">
        <v>197.74</v>
      </c>
      <c r="M503" t="s">
        <v>78</v>
      </c>
      <c r="N503" t="s">
        <v>140</v>
      </c>
      <c r="O503" t="s">
        <v>53</v>
      </c>
      <c r="P503" t="s">
        <v>26</v>
      </c>
      <c r="Q503" t="s">
        <v>54</v>
      </c>
    </row>
    <row r="504" spans="1:17" x14ac:dyDescent="0.3">
      <c r="A504" t="s">
        <v>1109</v>
      </c>
      <c r="B504" t="s">
        <v>1110</v>
      </c>
      <c r="C504" t="s">
        <v>144</v>
      </c>
      <c r="D504" t="s">
        <v>20</v>
      </c>
      <c r="E504" t="s">
        <v>88</v>
      </c>
      <c r="F504">
        <v>2025</v>
      </c>
      <c r="G504" t="s">
        <v>108</v>
      </c>
      <c r="H504">
        <v>140</v>
      </c>
      <c r="I504">
        <v>5.9</v>
      </c>
      <c r="J504">
        <v>549687</v>
      </c>
      <c r="K504">
        <v>703.15</v>
      </c>
      <c r="L504">
        <v>160.66999999999999</v>
      </c>
      <c r="M504" t="s">
        <v>78</v>
      </c>
      <c r="N504" t="s">
        <v>89</v>
      </c>
      <c r="O504" t="s">
        <v>127</v>
      </c>
      <c r="P504" t="s">
        <v>26</v>
      </c>
      <c r="Q504" t="s">
        <v>68</v>
      </c>
    </row>
    <row r="505" spans="1:17" x14ac:dyDescent="0.3">
      <c r="A505" t="s">
        <v>1111</v>
      </c>
      <c r="B505" t="s">
        <v>1112</v>
      </c>
      <c r="C505" t="s">
        <v>86</v>
      </c>
      <c r="D505" t="s">
        <v>64</v>
      </c>
      <c r="E505" t="s">
        <v>88</v>
      </c>
      <c r="F505">
        <v>2023</v>
      </c>
      <c r="G505" t="s">
        <v>93</v>
      </c>
      <c r="H505">
        <v>87</v>
      </c>
      <c r="I505">
        <v>7.1</v>
      </c>
      <c r="J505">
        <v>870793</v>
      </c>
      <c r="K505">
        <v>1194.2</v>
      </c>
      <c r="L505">
        <v>176.99</v>
      </c>
      <c r="M505" t="s">
        <v>42</v>
      </c>
      <c r="N505" t="s">
        <v>43</v>
      </c>
      <c r="O505" t="s">
        <v>127</v>
      </c>
      <c r="P505" t="s">
        <v>45</v>
      </c>
      <c r="Q505" t="s">
        <v>54</v>
      </c>
    </row>
    <row r="506" spans="1:17" x14ac:dyDescent="0.3">
      <c r="A506" t="s">
        <v>1113</v>
      </c>
      <c r="B506" t="s">
        <v>1114</v>
      </c>
      <c r="C506" t="s">
        <v>63</v>
      </c>
      <c r="D506" t="s">
        <v>20</v>
      </c>
      <c r="E506" t="s">
        <v>88</v>
      </c>
      <c r="F506">
        <v>2025</v>
      </c>
      <c r="G506" t="s">
        <v>100</v>
      </c>
      <c r="H506">
        <v>96</v>
      </c>
      <c r="I506">
        <v>8.3000000000000007</v>
      </c>
      <c r="J506">
        <v>673845</v>
      </c>
      <c r="K506">
        <v>279.18</v>
      </c>
      <c r="L506">
        <v>136.94</v>
      </c>
      <c r="M506" t="s">
        <v>33</v>
      </c>
      <c r="N506" t="s">
        <v>34</v>
      </c>
      <c r="O506" t="s">
        <v>120</v>
      </c>
      <c r="P506" t="s">
        <v>26</v>
      </c>
      <c r="Q506" t="s">
        <v>152</v>
      </c>
    </row>
    <row r="507" spans="1:17" x14ac:dyDescent="0.3">
      <c r="A507" t="s">
        <v>1115</v>
      </c>
      <c r="B507" t="s">
        <v>1116</v>
      </c>
      <c r="C507" t="s">
        <v>39</v>
      </c>
      <c r="D507" t="s">
        <v>20</v>
      </c>
      <c r="E507" t="s">
        <v>92</v>
      </c>
      <c r="F507">
        <v>2022</v>
      </c>
      <c r="G507" t="s">
        <v>22</v>
      </c>
      <c r="H507">
        <v>106</v>
      </c>
      <c r="I507">
        <v>6.3</v>
      </c>
      <c r="J507">
        <v>87486</v>
      </c>
      <c r="K507">
        <v>872.15</v>
      </c>
      <c r="L507">
        <v>142.22</v>
      </c>
      <c r="M507" t="s">
        <v>23</v>
      </c>
      <c r="N507" t="s">
        <v>140</v>
      </c>
      <c r="O507" t="s">
        <v>53</v>
      </c>
      <c r="P507" t="s">
        <v>26</v>
      </c>
      <c r="Q507" t="s">
        <v>36</v>
      </c>
    </row>
    <row r="508" spans="1:17" x14ac:dyDescent="0.3">
      <c r="A508" t="s">
        <v>1117</v>
      </c>
      <c r="B508" t="s">
        <v>1118</v>
      </c>
      <c r="C508" t="s">
        <v>48</v>
      </c>
      <c r="D508" t="s">
        <v>20</v>
      </c>
      <c r="E508" t="s">
        <v>41</v>
      </c>
      <c r="F508">
        <v>2015</v>
      </c>
      <c r="G508" t="s">
        <v>155</v>
      </c>
      <c r="H508">
        <v>175</v>
      </c>
      <c r="I508">
        <v>6.4</v>
      </c>
      <c r="J508">
        <v>542100</v>
      </c>
      <c r="K508">
        <v>1007.37</v>
      </c>
      <c r="L508">
        <v>215.95</v>
      </c>
      <c r="M508" t="s">
        <v>23</v>
      </c>
      <c r="N508" t="s">
        <v>145</v>
      </c>
      <c r="O508" t="s">
        <v>59</v>
      </c>
      <c r="P508" t="s">
        <v>26</v>
      </c>
      <c r="Q508" t="s">
        <v>123</v>
      </c>
    </row>
    <row r="509" spans="1:17" x14ac:dyDescent="0.3">
      <c r="A509" t="s">
        <v>1119</v>
      </c>
      <c r="B509" t="s">
        <v>1120</v>
      </c>
      <c r="C509" t="s">
        <v>48</v>
      </c>
      <c r="D509" t="s">
        <v>20</v>
      </c>
      <c r="E509" t="s">
        <v>88</v>
      </c>
      <c r="F509">
        <v>2016</v>
      </c>
      <c r="G509" t="s">
        <v>100</v>
      </c>
      <c r="H509">
        <v>141</v>
      </c>
      <c r="I509">
        <v>6.7</v>
      </c>
      <c r="J509">
        <v>43941</v>
      </c>
      <c r="K509">
        <v>582.39</v>
      </c>
      <c r="L509">
        <v>117.38</v>
      </c>
      <c r="M509" t="s">
        <v>33</v>
      </c>
      <c r="N509" t="s">
        <v>89</v>
      </c>
      <c r="O509" t="s">
        <v>59</v>
      </c>
      <c r="P509" t="s">
        <v>26</v>
      </c>
      <c r="Q509" t="s">
        <v>27</v>
      </c>
    </row>
    <row r="510" spans="1:17" x14ac:dyDescent="0.3">
      <c r="A510" t="s">
        <v>1121</v>
      </c>
      <c r="B510" t="s">
        <v>1122</v>
      </c>
      <c r="C510" t="s">
        <v>86</v>
      </c>
      <c r="D510" t="s">
        <v>57</v>
      </c>
      <c r="E510" t="s">
        <v>82</v>
      </c>
      <c r="F510">
        <v>2024</v>
      </c>
      <c r="G510" t="s">
        <v>93</v>
      </c>
      <c r="H510">
        <v>182</v>
      </c>
      <c r="I510">
        <v>8.3000000000000007</v>
      </c>
      <c r="J510">
        <v>146051</v>
      </c>
      <c r="K510">
        <v>494.51</v>
      </c>
      <c r="L510">
        <v>127.18</v>
      </c>
      <c r="M510" t="s">
        <v>58</v>
      </c>
      <c r="N510" t="s">
        <v>145</v>
      </c>
      <c r="O510" t="s">
        <v>59</v>
      </c>
      <c r="P510" t="s">
        <v>26</v>
      </c>
      <c r="Q510" t="s">
        <v>68</v>
      </c>
    </row>
    <row r="511" spans="1:17" x14ac:dyDescent="0.3">
      <c r="A511" t="s">
        <v>1123</v>
      </c>
      <c r="B511" t="s">
        <v>1124</v>
      </c>
      <c r="C511" t="s">
        <v>19</v>
      </c>
      <c r="D511" t="s">
        <v>64</v>
      </c>
      <c r="E511" t="s">
        <v>208</v>
      </c>
      <c r="F511">
        <v>2025</v>
      </c>
      <c r="G511" t="s">
        <v>65</v>
      </c>
      <c r="H511">
        <v>85</v>
      </c>
      <c r="I511">
        <v>7.6</v>
      </c>
      <c r="J511">
        <v>474812</v>
      </c>
      <c r="K511">
        <v>412</v>
      </c>
      <c r="L511">
        <v>69.83</v>
      </c>
      <c r="M511" t="s">
        <v>42</v>
      </c>
      <c r="N511" t="s">
        <v>83</v>
      </c>
      <c r="O511" t="s">
        <v>120</v>
      </c>
      <c r="P511" t="s">
        <v>26</v>
      </c>
      <c r="Q511" t="s">
        <v>68</v>
      </c>
    </row>
    <row r="512" spans="1:17" x14ac:dyDescent="0.3">
      <c r="A512" t="s">
        <v>1125</v>
      </c>
      <c r="B512" t="s">
        <v>1126</v>
      </c>
      <c r="C512" t="s">
        <v>130</v>
      </c>
      <c r="D512" t="s">
        <v>20</v>
      </c>
      <c r="E512" t="s">
        <v>49</v>
      </c>
      <c r="F512">
        <v>2024</v>
      </c>
      <c r="G512" t="s">
        <v>22</v>
      </c>
      <c r="H512">
        <v>127</v>
      </c>
      <c r="I512">
        <v>5.8</v>
      </c>
      <c r="J512">
        <v>375286</v>
      </c>
      <c r="K512">
        <v>175.48</v>
      </c>
      <c r="L512">
        <v>33.799999999999997</v>
      </c>
      <c r="M512" t="s">
        <v>51</v>
      </c>
      <c r="N512" t="s">
        <v>140</v>
      </c>
      <c r="O512" t="s">
        <v>148</v>
      </c>
      <c r="P512" t="s">
        <v>26</v>
      </c>
      <c r="Q512" t="s">
        <v>54</v>
      </c>
    </row>
    <row r="513" spans="1:17" x14ac:dyDescent="0.3">
      <c r="A513" t="s">
        <v>1127</v>
      </c>
      <c r="B513" t="s">
        <v>1128</v>
      </c>
      <c r="C513" t="s">
        <v>130</v>
      </c>
      <c r="D513" t="s">
        <v>72</v>
      </c>
      <c r="E513" t="s">
        <v>41</v>
      </c>
      <c r="F513">
        <v>2019</v>
      </c>
      <c r="G513" t="s">
        <v>126</v>
      </c>
      <c r="H513">
        <v>171</v>
      </c>
      <c r="I513">
        <v>6.3</v>
      </c>
      <c r="J513">
        <v>855579</v>
      </c>
      <c r="K513">
        <v>185.76</v>
      </c>
      <c r="L513">
        <v>25.62</v>
      </c>
      <c r="M513" t="s">
        <v>42</v>
      </c>
      <c r="N513" t="s">
        <v>66</v>
      </c>
      <c r="O513" t="s">
        <v>53</v>
      </c>
      <c r="P513" t="s">
        <v>26</v>
      </c>
      <c r="Q513" t="s">
        <v>68</v>
      </c>
    </row>
    <row r="514" spans="1:17" x14ac:dyDescent="0.3">
      <c r="A514" t="s">
        <v>1129</v>
      </c>
      <c r="B514" t="s">
        <v>1130</v>
      </c>
      <c r="C514" t="s">
        <v>71</v>
      </c>
      <c r="D514" t="s">
        <v>87</v>
      </c>
      <c r="E514" t="s">
        <v>21</v>
      </c>
      <c r="F514">
        <v>2020</v>
      </c>
      <c r="G514" t="s">
        <v>96</v>
      </c>
      <c r="H514">
        <v>159</v>
      </c>
      <c r="I514">
        <v>9.3000000000000007</v>
      </c>
      <c r="J514">
        <v>424631</v>
      </c>
      <c r="K514">
        <v>1381.87</v>
      </c>
      <c r="L514">
        <v>212.21</v>
      </c>
      <c r="M514" t="s">
        <v>42</v>
      </c>
      <c r="N514" t="s">
        <v>34</v>
      </c>
      <c r="O514" t="s">
        <v>127</v>
      </c>
      <c r="P514" t="s">
        <v>26</v>
      </c>
      <c r="Q514" t="s">
        <v>152</v>
      </c>
    </row>
    <row r="515" spans="1:17" x14ac:dyDescent="0.3">
      <c r="A515" t="s">
        <v>1131</v>
      </c>
      <c r="B515" t="s">
        <v>1132</v>
      </c>
      <c r="C515" t="s">
        <v>86</v>
      </c>
      <c r="D515" t="s">
        <v>20</v>
      </c>
      <c r="E515" t="s">
        <v>41</v>
      </c>
      <c r="F515">
        <v>2020</v>
      </c>
      <c r="G515" t="s">
        <v>126</v>
      </c>
      <c r="H515">
        <v>185</v>
      </c>
      <c r="I515">
        <v>6.8</v>
      </c>
      <c r="J515">
        <v>935915</v>
      </c>
      <c r="K515">
        <v>231.89</v>
      </c>
      <c r="L515">
        <v>110.8</v>
      </c>
      <c r="M515" t="s">
        <v>33</v>
      </c>
      <c r="N515" t="s">
        <v>34</v>
      </c>
      <c r="O515" t="s">
        <v>105</v>
      </c>
      <c r="P515" t="s">
        <v>26</v>
      </c>
      <c r="Q515" t="s">
        <v>152</v>
      </c>
    </row>
    <row r="516" spans="1:17" x14ac:dyDescent="0.3">
      <c r="A516" t="s">
        <v>1133</v>
      </c>
      <c r="B516" t="s">
        <v>1134</v>
      </c>
      <c r="C516" t="s">
        <v>63</v>
      </c>
      <c r="D516" t="s">
        <v>20</v>
      </c>
      <c r="E516" t="s">
        <v>21</v>
      </c>
      <c r="F516">
        <v>2023</v>
      </c>
      <c r="G516" t="s">
        <v>32</v>
      </c>
      <c r="H516">
        <v>179</v>
      </c>
      <c r="I516">
        <v>6.2</v>
      </c>
      <c r="J516">
        <v>232051</v>
      </c>
      <c r="K516">
        <v>323.54000000000002</v>
      </c>
      <c r="L516">
        <v>123.08</v>
      </c>
      <c r="M516" t="s">
        <v>33</v>
      </c>
      <c r="N516" t="s">
        <v>73</v>
      </c>
      <c r="O516" t="s">
        <v>166</v>
      </c>
      <c r="P516" t="s">
        <v>26</v>
      </c>
      <c r="Q516" t="s">
        <v>123</v>
      </c>
    </row>
    <row r="517" spans="1:17" x14ac:dyDescent="0.3">
      <c r="A517" t="s">
        <v>1135</v>
      </c>
      <c r="B517" t="s">
        <v>1136</v>
      </c>
      <c r="C517" t="s">
        <v>112</v>
      </c>
      <c r="D517" t="s">
        <v>20</v>
      </c>
      <c r="E517" t="s">
        <v>31</v>
      </c>
      <c r="F517">
        <v>2021</v>
      </c>
      <c r="G517" t="s">
        <v>113</v>
      </c>
      <c r="H517">
        <v>103</v>
      </c>
      <c r="I517">
        <v>6.4</v>
      </c>
      <c r="J517">
        <v>112802</v>
      </c>
      <c r="K517">
        <v>331.64</v>
      </c>
      <c r="L517">
        <v>45.44</v>
      </c>
      <c r="M517" t="s">
        <v>33</v>
      </c>
      <c r="N517" t="s">
        <v>109</v>
      </c>
      <c r="O517" t="s">
        <v>44</v>
      </c>
      <c r="P517" t="s">
        <v>45</v>
      </c>
      <c r="Q517" t="s">
        <v>152</v>
      </c>
    </row>
    <row r="518" spans="1:17" x14ac:dyDescent="0.3">
      <c r="A518" t="s">
        <v>1137</v>
      </c>
      <c r="B518" t="s">
        <v>1138</v>
      </c>
      <c r="C518" t="s">
        <v>116</v>
      </c>
      <c r="D518" t="s">
        <v>64</v>
      </c>
      <c r="E518" t="s">
        <v>31</v>
      </c>
      <c r="F518">
        <v>2022</v>
      </c>
      <c r="G518" t="s">
        <v>77</v>
      </c>
      <c r="H518">
        <v>88</v>
      </c>
      <c r="I518">
        <v>7.1</v>
      </c>
      <c r="J518">
        <v>435850</v>
      </c>
      <c r="K518">
        <v>63.33</v>
      </c>
      <c r="L518">
        <v>15.21</v>
      </c>
      <c r="M518" t="s">
        <v>42</v>
      </c>
      <c r="N518" t="s">
        <v>109</v>
      </c>
      <c r="O518" t="s">
        <v>148</v>
      </c>
      <c r="P518" t="s">
        <v>26</v>
      </c>
      <c r="Q518" t="s">
        <v>36</v>
      </c>
    </row>
    <row r="519" spans="1:17" x14ac:dyDescent="0.3">
      <c r="A519" t="s">
        <v>1139</v>
      </c>
      <c r="B519" t="s">
        <v>1140</v>
      </c>
      <c r="C519" t="s">
        <v>144</v>
      </c>
      <c r="D519" t="s">
        <v>211</v>
      </c>
      <c r="E519" t="s">
        <v>88</v>
      </c>
      <c r="F519">
        <v>2015</v>
      </c>
      <c r="G519" t="s">
        <v>50</v>
      </c>
      <c r="H519">
        <v>120</v>
      </c>
      <c r="I519">
        <v>6.5</v>
      </c>
      <c r="J519">
        <v>584435</v>
      </c>
      <c r="K519">
        <v>126.84</v>
      </c>
      <c r="L519">
        <v>67.53</v>
      </c>
      <c r="M519" t="s">
        <v>212</v>
      </c>
      <c r="N519" t="s">
        <v>73</v>
      </c>
      <c r="O519" t="s">
        <v>136</v>
      </c>
      <c r="P519" t="s">
        <v>26</v>
      </c>
      <c r="Q519" t="s">
        <v>123</v>
      </c>
    </row>
    <row r="520" spans="1:17" x14ac:dyDescent="0.3">
      <c r="A520" t="s">
        <v>1141</v>
      </c>
      <c r="B520" t="s">
        <v>1142</v>
      </c>
      <c r="C520" t="s">
        <v>116</v>
      </c>
      <c r="D520" t="s">
        <v>20</v>
      </c>
      <c r="E520" t="s">
        <v>31</v>
      </c>
      <c r="F520">
        <v>2024</v>
      </c>
      <c r="G520" t="s">
        <v>77</v>
      </c>
      <c r="H520">
        <v>87</v>
      </c>
      <c r="I520">
        <v>7.2</v>
      </c>
      <c r="J520">
        <v>183510</v>
      </c>
      <c r="K520">
        <v>111.84</v>
      </c>
      <c r="L520">
        <v>67.81</v>
      </c>
      <c r="M520" t="s">
        <v>33</v>
      </c>
      <c r="N520" t="s">
        <v>101</v>
      </c>
      <c r="O520" t="s">
        <v>199</v>
      </c>
      <c r="P520" t="s">
        <v>26</v>
      </c>
      <c r="Q520" t="s">
        <v>27</v>
      </c>
    </row>
    <row r="521" spans="1:17" x14ac:dyDescent="0.3">
      <c r="A521" t="s">
        <v>1143</v>
      </c>
      <c r="B521" t="s">
        <v>1144</v>
      </c>
      <c r="C521" t="s">
        <v>39</v>
      </c>
      <c r="D521" t="s">
        <v>40</v>
      </c>
      <c r="E521" t="s">
        <v>41</v>
      </c>
      <c r="F521">
        <v>2025</v>
      </c>
      <c r="G521" t="s">
        <v>93</v>
      </c>
      <c r="H521">
        <v>160</v>
      </c>
      <c r="I521">
        <v>7</v>
      </c>
      <c r="J521">
        <v>609651</v>
      </c>
      <c r="K521">
        <v>209.79</v>
      </c>
      <c r="L521">
        <v>40.24</v>
      </c>
      <c r="M521" t="s">
        <v>42</v>
      </c>
      <c r="N521" t="s">
        <v>119</v>
      </c>
      <c r="O521" t="s">
        <v>53</v>
      </c>
      <c r="P521" t="s">
        <v>26</v>
      </c>
      <c r="Q521" t="s">
        <v>152</v>
      </c>
    </row>
    <row r="522" spans="1:17" x14ac:dyDescent="0.3">
      <c r="A522" t="s">
        <v>1145</v>
      </c>
      <c r="B522" t="s">
        <v>1146</v>
      </c>
      <c r="C522" t="s">
        <v>39</v>
      </c>
      <c r="D522" t="s">
        <v>64</v>
      </c>
      <c r="E522" t="s">
        <v>41</v>
      </c>
      <c r="F522">
        <v>2020</v>
      </c>
      <c r="G522" t="s">
        <v>93</v>
      </c>
      <c r="H522">
        <v>189</v>
      </c>
      <c r="I522">
        <v>5.0999999999999996</v>
      </c>
      <c r="J522">
        <v>549332</v>
      </c>
      <c r="K522">
        <v>591.66</v>
      </c>
      <c r="L522">
        <v>191.37</v>
      </c>
      <c r="M522" t="s">
        <v>42</v>
      </c>
      <c r="N522" t="s">
        <v>73</v>
      </c>
      <c r="O522" t="s">
        <v>199</v>
      </c>
      <c r="P522" t="s">
        <v>26</v>
      </c>
      <c r="Q522" t="s">
        <v>36</v>
      </c>
    </row>
    <row r="523" spans="1:17" x14ac:dyDescent="0.3">
      <c r="A523" t="s">
        <v>1147</v>
      </c>
      <c r="B523" t="s">
        <v>1148</v>
      </c>
      <c r="C523" t="s">
        <v>116</v>
      </c>
      <c r="D523" t="s">
        <v>20</v>
      </c>
      <c r="E523" t="s">
        <v>41</v>
      </c>
      <c r="F523">
        <v>2022</v>
      </c>
      <c r="G523" t="s">
        <v>50</v>
      </c>
      <c r="H523">
        <v>171</v>
      </c>
      <c r="I523">
        <v>6.8</v>
      </c>
      <c r="J523">
        <v>43810</v>
      </c>
      <c r="K523">
        <v>114.01</v>
      </c>
      <c r="L523">
        <v>26.15</v>
      </c>
      <c r="M523" t="s">
        <v>78</v>
      </c>
      <c r="N523" t="s">
        <v>119</v>
      </c>
      <c r="O523" t="s">
        <v>25</v>
      </c>
      <c r="P523" t="s">
        <v>45</v>
      </c>
      <c r="Q523" t="s">
        <v>123</v>
      </c>
    </row>
    <row r="524" spans="1:17" x14ac:dyDescent="0.3">
      <c r="A524" t="s">
        <v>1149</v>
      </c>
      <c r="B524" t="s">
        <v>1150</v>
      </c>
      <c r="C524" t="s">
        <v>144</v>
      </c>
      <c r="D524" t="s">
        <v>20</v>
      </c>
      <c r="E524" t="s">
        <v>88</v>
      </c>
      <c r="F524">
        <v>2016</v>
      </c>
      <c r="G524" t="s">
        <v>65</v>
      </c>
      <c r="H524">
        <v>128</v>
      </c>
      <c r="I524">
        <v>7.7</v>
      </c>
      <c r="J524">
        <v>680245</v>
      </c>
      <c r="K524">
        <v>179.39</v>
      </c>
      <c r="L524">
        <v>29.12</v>
      </c>
      <c r="M524" t="s">
        <v>23</v>
      </c>
      <c r="N524" t="s">
        <v>101</v>
      </c>
      <c r="O524" t="s">
        <v>120</v>
      </c>
      <c r="P524" t="s">
        <v>45</v>
      </c>
      <c r="Q524" t="s">
        <v>36</v>
      </c>
    </row>
    <row r="525" spans="1:17" x14ac:dyDescent="0.3">
      <c r="A525" t="s">
        <v>1151</v>
      </c>
      <c r="B525" t="s">
        <v>1152</v>
      </c>
      <c r="C525" t="s">
        <v>130</v>
      </c>
      <c r="D525" t="s">
        <v>20</v>
      </c>
      <c r="E525" t="s">
        <v>41</v>
      </c>
      <c r="F525">
        <v>2023</v>
      </c>
      <c r="G525" t="s">
        <v>50</v>
      </c>
      <c r="H525">
        <v>102</v>
      </c>
      <c r="I525">
        <v>7.4</v>
      </c>
      <c r="J525">
        <v>597096</v>
      </c>
      <c r="K525">
        <v>19.2</v>
      </c>
      <c r="L525">
        <v>9.18</v>
      </c>
      <c r="M525" t="s">
        <v>23</v>
      </c>
      <c r="N525" t="s">
        <v>119</v>
      </c>
      <c r="O525" t="s">
        <v>53</v>
      </c>
      <c r="P525" t="s">
        <v>26</v>
      </c>
      <c r="Q525" t="s">
        <v>152</v>
      </c>
    </row>
    <row r="526" spans="1:17" x14ac:dyDescent="0.3">
      <c r="A526" t="s">
        <v>1153</v>
      </c>
      <c r="B526" t="s">
        <v>1154</v>
      </c>
      <c r="C526" t="s">
        <v>19</v>
      </c>
      <c r="D526" t="s">
        <v>64</v>
      </c>
      <c r="E526" t="s">
        <v>82</v>
      </c>
      <c r="F526">
        <v>2016</v>
      </c>
      <c r="G526" t="s">
        <v>65</v>
      </c>
      <c r="H526">
        <v>118</v>
      </c>
      <c r="I526">
        <v>7.1</v>
      </c>
      <c r="J526">
        <v>227022</v>
      </c>
      <c r="K526">
        <v>14.32</v>
      </c>
      <c r="L526">
        <v>11.88</v>
      </c>
      <c r="M526" t="s">
        <v>42</v>
      </c>
      <c r="N526" t="s">
        <v>101</v>
      </c>
      <c r="O526" t="s">
        <v>245</v>
      </c>
      <c r="P526" t="s">
        <v>45</v>
      </c>
      <c r="Q526" t="s">
        <v>68</v>
      </c>
    </row>
    <row r="527" spans="1:17" x14ac:dyDescent="0.3">
      <c r="A527" t="s">
        <v>1155</v>
      </c>
      <c r="B527" t="s">
        <v>1156</v>
      </c>
      <c r="C527" t="s">
        <v>30</v>
      </c>
      <c r="D527" t="s">
        <v>20</v>
      </c>
      <c r="E527" t="s">
        <v>31</v>
      </c>
      <c r="F527">
        <v>2016</v>
      </c>
      <c r="G527" t="s">
        <v>77</v>
      </c>
      <c r="H527">
        <v>189</v>
      </c>
      <c r="I527">
        <v>6.5</v>
      </c>
      <c r="J527">
        <v>360170</v>
      </c>
      <c r="K527">
        <v>165.02</v>
      </c>
      <c r="L527">
        <v>47.35</v>
      </c>
      <c r="M527" t="s">
        <v>33</v>
      </c>
      <c r="N527" t="s">
        <v>140</v>
      </c>
      <c r="O527" t="s">
        <v>166</v>
      </c>
      <c r="P527" t="s">
        <v>26</v>
      </c>
      <c r="Q527" t="s">
        <v>68</v>
      </c>
    </row>
    <row r="528" spans="1:17" x14ac:dyDescent="0.3">
      <c r="A528" t="s">
        <v>1157</v>
      </c>
      <c r="B528" t="s">
        <v>1158</v>
      </c>
      <c r="C528" t="s">
        <v>86</v>
      </c>
      <c r="D528" t="s">
        <v>20</v>
      </c>
      <c r="E528" t="s">
        <v>82</v>
      </c>
      <c r="F528">
        <v>2016</v>
      </c>
      <c r="G528" t="s">
        <v>32</v>
      </c>
      <c r="H528">
        <v>153</v>
      </c>
      <c r="I528">
        <v>6.8</v>
      </c>
      <c r="J528">
        <v>800013</v>
      </c>
      <c r="K528">
        <v>360.75</v>
      </c>
      <c r="L528">
        <v>173.16</v>
      </c>
      <c r="M528" t="s">
        <v>33</v>
      </c>
      <c r="N528" t="s">
        <v>140</v>
      </c>
      <c r="O528" t="s">
        <v>97</v>
      </c>
      <c r="P528" t="s">
        <v>45</v>
      </c>
      <c r="Q528" t="s">
        <v>54</v>
      </c>
    </row>
    <row r="529" spans="1:17" x14ac:dyDescent="0.3">
      <c r="A529" t="s">
        <v>1159</v>
      </c>
      <c r="B529" t="s">
        <v>1160</v>
      </c>
      <c r="C529" t="s">
        <v>144</v>
      </c>
      <c r="D529" t="s">
        <v>215</v>
      </c>
      <c r="E529" t="s">
        <v>41</v>
      </c>
      <c r="F529">
        <v>2018</v>
      </c>
      <c r="G529" t="s">
        <v>22</v>
      </c>
      <c r="H529">
        <v>128</v>
      </c>
      <c r="I529">
        <v>7.1</v>
      </c>
      <c r="J529">
        <v>279737</v>
      </c>
      <c r="K529">
        <v>552.71</v>
      </c>
      <c r="L529">
        <v>94.36</v>
      </c>
      <c r="M529" t="s">
        <v>484</v>
      </c>
      <c r="N529" t="s">
        <v>145</v>
      </c>
      <c r="O529" t="s">
        <v>141</v>
      </c>
      <c r="P529" t="s">
        <v>26</v>
      </c>
      <c r="Q529" t="s">
        <v>68</v>
      </c>
    </row>
    <row r="530" spans="1:17" x14ac:dyDescent="0.3">
      <c r="A530" t="s">
        <v>1161</v>
      </c>
      <c r="B530" t="s">
        <v>1162</v>
      </c>
      <c r="C530" t="s">
        <v>144</v>
      </c>
      <c r="D530" t="s">
        <v>20</v>
      </c>
      <c r="E530" t="s">
        <v>82</v>
      </c>
      <c r="F530">
        <v>2016</v>
      </c>
      <c r="G530" t="s">
        <v>96</v>
      </c>
      <c r="H530">
        <v>131</v>
      </c>
      <c r="I530">
        <v>7.7</v>
      </c>
      <c r="J530">
        <v>206998</v>
      </c>
      <c r="K530">
        <v>419.37</v>
      </c>
      <c r="L530">
        <v>169.43</v>
      </c>
      <c r="M530" t="s">
        <v>78</v>
      </c>
      <c r="N530" t="s">
        <v>179</v>
      </c>
      <c r="O530" t="s">
        <v>105</v>
      </c>
      <c r="P530" t="s">
        <v>45</v>
      </c>
      <c r="Q530" t="s">
        <v>54</v>
      </c>
    </row>
    <row r="531" spans="1:17" x14ac:dyDescent="0.3">
      <c r="A531" t="s">
        <v>1163</v>
      </c>
      <c r="B531" t="s">
        <v>1164</v>
      </c>
      <c r="C531" t="s">
        <v>39</v>
      </c>
      <c r="D531" t="s">
        <v>211</v>
      </c>
      <c r="E531" t="s">
        <v>208</v>
      </c>
      <c r="F531">
        <v>2020</v>
      </c>
      <c r="G531" t="s">
        <v>65</v>
      </c>
      <c r="H531">
        <v>190</v>
      </c>
      <c r="I531">
        <v>7.1</v>
      </c>
      <c r="J531">
        <v>294171</v>
      </c>
      <c r="K531">
        <v>1101.4000000000001</v>
      </c>
      <c r="L531">
        <v>225.25</v>
      </c>
      <c r="M531" t="s">
        <v>212</v>
      </c>
      <c r="N531" t="s">
        <v>24</v>
      </c>
      <c r="O531" t="s">
        <v>166</v>
      </c>
      <c r="P531" t="s">
        <v>26</v>
      </c>
      <c r="Q531" t="s">
        <v>123</v>
      </c>
    </row>
    <row r="532" spans="1:17" x14ac:dyDescent="0.3">
      <c r="A532" t="s">
        <v>1165</v>
      </c>
      <c r="B532" t="s">
        <v>1166</v>
      </c>
      <c r="C532" t="s">
        <v>30</v>
      </c>
      <c r="D532" t="s">
        <v>20</v>
      </c>
      <c r="E532" t="s">
        <v>31</v>
      </c>
      <c r="F532">
        <v>2019</v>
      </c>
      <c r="G532" t="s">
        <v>113</v>
      </c>
      <c r="H532">
        <v>180</v>
      </c>
      <c r="I532">
        <v>6.2</v>
      </c>
      <c r="J532">
        <v>95569</v>
      </c>
      <c r="K532">
        <v>160</v>
      </c>
      <c r="L532">
        <v>109.62</v>
      </c>
      <c r="M532" t="s">
        <v>51</v>
      </c>
      <c r="N532" t="s">
        <v>89</v>
      </c>
      <c r="O532" t="s">
        <v>120</v>
      </c>
      <c r="P532" t="s">
        <v>26</v>
      </c>
      <c r="Q532" t="s">
        <v>152</v>
      </c>
    </row>
    <row r="533" spans="1:17" x14ac:dyDescent="0.3">
      <c r="A533" t="s">
        <v>1167</v>
      </c>
      <c r="B533" t="s">
        <v>1168</v>
      </c>
      <c r="C533" t="s">
        <v>104</v>
      </c>
      <c r="D533" t="s">
        <v>87</v>
      </c>
      <c r="E533" t="s">
        <v>192</v>
      </c>
      <c r="F533">
        <v>2025</v>
      </c>
      <c r="G533" t="s">
        <v>93</v>
      </c>
      <c r="H533">
        <v>85</v>
      </c>
      <c r="I533">
        <v>8.8000000000000007</v>
      </c>
      <c r="J533">
        <v>287378</v>
      </c>
      <c r="K533">
        <v>965.42</v>
      </c>
      <c r="L533">
        <v>150.27000000000001</v>
      </c>
      <c r="M533" t="s">
        <v>42</v>
      </c>
      <c r="N533" t="s">
        <v>34</v>
      </c>
      <c r="O533" t="s">
        <v>151</v>
      </c>
      <c r="P533" t="s">
        <v>45</v>
      </c>
      <c r="Q533" t="s">
        <v>68</v>
      </c>
    </row>
    <row r="534" spans="1:17" x14ac:dyDescent="0.3">
      <c r="A534" t="s">
        <v>1109</v>
      </c>
      <c r="B534" t="s">
        <v>1110</v>
      </c>
      <c r="C534" t="s">
        <v>144</v>
      </c>
      <c r="D534" t="s">
        <v>20</v>
      </c>
      <c r="E534" t="s">
        <v>88</v>
      </c>
      <c r="F534">
        <v>2025</v>
      </c>
      <c r="G534" t="s">
        <v>108</v>
      </c>
      <c r="H534">
        <v>140</v>
      </c>
      <c r="I534">
        <v>5.9</v>
      </c>
      <c r="J534">
        <v>549687</v>
      </c>
      <c r="K534">
        <v>703.15</v>
      </c>
      <c r="L534">
        <v>160.66999999999999</v>
      </c>
      <c r="M534" t="s">
        <v>78</v>
      </c>
      <c r="N534" t="s">
        <v>89</v>
      </c>
      <c r="O534" t="s">
        <v>127</v>
      </c>
      <c r="P534" t="s">
        <v>26</v>
      </c>
      <c r="Q534" t="s">
        <v>68</v>
      </c>
    </row>
    <row r="535" spans="1:17" x14ac:dyDescent="0.3">
      <c r="A535" t="s">
        <v>1169</v>
      </c>
      <c r="B535" t="s">
        <v>1170</v>
      </c>
      <c r="C535" t="s">
        <v>144</v>
      </c>
      <c r="D535" t="s">
        <v>20</v>
      </c>
      <c r="E535" t="s">
        <v>208</v>
      </c>
      <c r="F535">
        <v>2017</v>
      </c>
      <c r="G535" t="s">
        <v>155</v>
      </c>
      <c r="H535">
        <v>178</v>
      </c>
      <c r="I535">
        <v>6.5</v>
      </c>
      <c r="J535">
        <v>45035</v>
      </c>
      <c r="K535">
        <v>836.78</v>
      </c>
      <c r="L535">
        <v>186.69</v>
      </c>
      <c r="M535" t="s">
        <v>51</v>
      </c>
      <c r="N535" t="s">
        <v>140</v>
      </c>
      <c r="O535" t="s">
        <v>67</v>
      </c>
      <c r="P535" t="s">
        <v>26</v>
      </c>
      <c r="Q535" t="s">
        <v>36</v>
      </c>
    </row>
    <row r="536" spans="1:17" x14ac:dyDescent="0.3">
      <c r="A536" t="s">
        <v>1171</v>
      </c>
      <c r="B536" t="s">
        <v>1172</v>
      </c>
      <c r="C536" t="s">
        <v>19</v>
      </c>
      <c r="D536" t="s">
        <v>20</v>
      </c>
      <c r="E536" t="s">
        <v>31</v>
      </c>
      <c r="F536">
        <v>2017</v>
      </c>
      <c r="G536" t="s">
        <v>65</v>
      </c>
      <c r="H536">
        <v>112</v>
      </c>
      <c r="I536">
        <v>7.5</v>
      </c>
      <c r="J536">
        <v>661258</v>
      </c>
      <c r="K536">
        <v>149.81</v>
      </c>
      <c r="L536">
        <v>25.88</v>
      </c>
      <c r="M536" t="s">
        <v>78</v>
      </c>
      <c r="N536" t="s">
        <v>34</v>
      </c>
      <c r="O536" t="s">
        <v>74</v>
      </c>
      <c r="P536" t="s">
        <v>45</v>
      </c>
      <c r="Q536" t="s">
        <v>60</v>
      </c>
    </row>
    <row r="537" spans="1:17" x14ac:dyDescent="0.3">
      <c r="A537" t="s">
        <v>1173</v>
      </c>
      <c r="B537" t="s">
        <v>1174</v>
      </c>
      <c r="C537" t="s">
        <v>48</v>
      </c>
      <c r="D537" t="s">
        <v>20</v>
      </c>
      <c r="E537" t="s">
        <v>49</v>
      </c>
      <c r="F537">
        <v>2016</v>
      </c>
      <c r="G537" t="s">
        <v>100</v>
      </c>
      <c r="H537">
        <v>119</v>
      </c>
      <c r="I537">
        <v>7.8</v>
      </c>
      <c r="J537">
        <v>9402</v>
      </c>
      <c r="K537">
        <v>108.1</v>
      </c>
      <c r="L537">
        <v>59.74</v>
      </c>
      <c r="M537" t="s">
        <v>33</v>
      </c>
      <c r="N537" t="s">
        <v>179</v>
      </c>
      <c r="O537" t="s">
        <v>136</v>
      </c>
      <c r="P537" t="s">
        <v>26</v>
      </c>
      <c r="Q537" t="s">
        <v>54</v>
      </c>
    </row>
    <row r="538" spans="1:17" x14ac:dyDescent="0.3">
      <c r="A538" t="s">
        <v>1175</v>
      </c>
      <c r="B538" t="s">
        <v>1176</v>
      </c>
      <c r="C538" t="s">
        <v>144</v>
      </c>
      <c r="D538" t="s">
        <v>20</v>
      </c>
      <c r="E538" t="s">
        <v>49</v>
      </c>
      <c r="F538">
        <v>2020</v>
      </c>
      <c r="G538" t="s">
        <v>113</v>
      </c>
      <c r="H538">
        <v>132</v>
      </c>
      <c r="I538">
        <v>7.5</v>
      </c>
      <c r="J538">
        <v>328922</v>
      </c>
      <c r="K538">
        <v>478.14</v>
      </c>
      <c r="L538">
        <v>104.65</v>
      </c>
      <c r="M538" t="s">
        <v>23</v>
      </c>
      <c r="N538" t="s">
        <v>24</v>
      </c>
      <c r="O538" t="s">
        <v>105</v>
      </c>
      <c r="P538" t="s">
        <v>26</v>
      </c>
      <c r="Q538" t="s">
        <v>54</v>
      </c>
    </row>
    <row r="539" spans="1:17" x14ac:dyDescent="0.3">
      <c r="A539" t="s">
        <v>1177</v>
      </c>
      <c r="B539" t="s">
        <v>1178</v>
      </c>
      <c r="C539" t="s">
        <v>39</v>
      </c>
      <c r="D539" t="s">
        <v>64</v>
      </c>
      <c r="E539" t="s">
        <v>41</v>
      </c>
      <c r="F539">
        <v>2023</v>
      </c>
      <c r="G539" t="s">
        <v>50</v>
      </c>
      <c r="H539">
        <v>113</v>
      </c>
      <c r="I539">
        <v>7.9</v>
      </c>
      <c r="J539">
        <v>471829</v>
      </c>
      <c r="K539">
        <v>921.9</v>
      </c>
      <c r="L539">
        <v>148.13999999999999</v>
      </c>
      <c r="M539" t="s">
        <v>42</v>
      </c>
      <c r="N539" t="s">
        <v>52</v>
      </c>
      <c r="O539" t="s">
        <v>120</v>
      </c>
      <c r="P539" t="s">
        <v>26</v>
      </c>
      <c r="Q539" t="s">
        <v>54</v>
      </c>
    </row>
    <row r="540" spans="1:17" x14ac:dyDescent="0.3">
      <c r="A540" t="s">
        <v>1179</v>
      </c>
      <c r="B540" t="s">
        <v>1180</v>
      </c>
      <c r="C540" t="s">
        <v>19</v>
      </c>
      <c r="D540" t="s">
        <v>64</v>
      </c>
      <c r="E540" t="s">
        <v>88</v>
      </c>
      <c r="F540">
        <v>2017</v>
      </c>
      <c r="G540" t="s">
        <v>155</v>
      </c>
      <c r="H540">
        <v>150</v>
      </c>
      <c r="I540">
        <v>7.5</v>
      </c>
      <c r="J540">
        <v>41894</v>
      </c>
      <c r="K540">
        <v>397.69</v>
      </c>
      <c r="L540">
        <v>222.92</v>
      </c>
      <c r="M540" t="s">
        <v>42</v>
      </c>
      <c r="N540" t="s">
        <v>140</v>
      </c>
      <c r="O540" t="s">
        <v>120</v>
      </c>
      <c r="P540" t="s">
        <v>45</v>
      </c>
      <c r="Q540" t="s">
        <v>27</v>
      </c>
    </row>
    <row r="541" spans="1:17" x14ac:dyDescent="0.3">
      <c r="A541" t="s">
        <v>1181</v>
      </c>
      <c r="B541" t="s">
        <v>1182</v>
      </c>
      <c r="C541" t="s">
        <v>39</v>
      </c>
      <c r="D541" t="s">
        <v>40</v>
      </c>
      <c r="E541" t="s">
        <v>88</v>
      </c>
      <c r="F541">
        <v>2019</v>
      </c>
      <c r="G541" t="s">
        <v>93</v>
      </c>
      <c r="H541">
        <v>175</v>
      </c>
      <c r="I541">
        <v>8.6999999999999993</v>
      </c>
      <c r="J541">
        <v>490624</v>
      </c>
      <c r="K541">
        <v>823.18</v>
      </c>
      <c r="L541">
        <v>110.23</v>
      </c>
      <c r="M541" t="s">
        <v>42</v>
      </c>
      <c r="N541" t="s">
        <v>73</v>
      </c>
      <c r="O541" t="s">
        <v>59</v>
      </c>
      <c r="P541" t="s">
        <v>26</v>
      </c>
      <c r="Q541" t="s">
        <v>123</v>
      </c>
    </row>
    <row r="542" spans="1:17" x14ac:dyDescent="0.3">
      <c r="A542" t="s">
        <v>1183</v>
      </c>
      <c r="B542" t="s">
        <v>1184</v>
      </c>
      <c r="C542" t="s">
        <v>19</v>
      </c>
      <c r="D542" t="s">
        <v>87</v>
      </c>
      <c r="E542" t="s">
        <v>41</v>
      </c>
      <c r="F542">
        <v>2015</v>
      </c>
      <c r="G542" t="s">
        <v>126</v>
      </c>
      <c r="H542">
        <v>146</v>
      </c>
      <c r="I542">
        <v>5.5</v>
      </c>
      <c r="J542">
        <v>1516</v>
      </c>
      <c r="K542">
        <v>414.16</v>
      </c>
      <c r="L542">
        <v>84.27</v>
      </c>
      <c r="M542" t="s">
        <v>42</v>
      </c>
      <c r="N542" t="s">
        <v>34</v>
      </c>
      <c r="O542" t="s">
        <v>120</v>
      </c>
      <c r="P542" t="s">
        <v>26</v>
      </c>
      <c r="Q542" t="s">
        <v>152</v>
      </c>
    </row>
    <row r="543" spans="1:17" x14ac:dyDescent="0.3">
      <c r="A543" t="s">
        <v>1185</v>
      </c>
      <c r="B543" t="s">
        <v>1186</v>
      </c>
      <c r="C543" t="s">
        <v>63</v>
      </c>
      <c r="D543" t="s">
        <v>64</v>
      </c>
      <c r="E543" t="s">
        <v>88</v>
      </c>
      <c r="F543">
        <v>2017</v>
      </c>
      <c r="G543" t="s">
        <v>50</v>
      </c>
      <c r="H543">
        <v>111</v>
      </c>
      <c r="I543">
        <v>7.9</v>
      </c>
      <c r="J543">
        <v>630032</v>
      </c>
      <c r="K543">
        <v>350.58</v>
      </c>
      <c r="L543">
        <v>55.46</v>
      </c>
      <c r="M543" t="s">
        <v>42</v>
      </c>
      <c r="N543" t="s">
        <v>109</v>
      </c>
      <c r="O543" t="s">
        <v>120</v>
      </c>
      <c r="P543" t="s">
        <v>26</v>
      </c>
      <c r="Q543" t="s">
        <v>68</v>
      </c>
    </row>
    <row r="544" spans="1:17" x14ac:dyDescent="0.3">
      <c r="A544" t="s">
        <v>1187</v>
      </c>
      <c r="B544" t="s">
        <v>1188</v>
      </c>
      <c r="C544" t="s">
        <v>86</v>
      </c>
      <c r="D544" t="s">
        <v>20</v>
      </c>
      <c r="E544" t="s">
        <v>49</v>
      </c>
      <c r="F544">
        <v>2023</v>
      </c>
      <c r="G544" t="s">
        <v>22</v>
      </c>
      <c r="H544">
        <v>177</v>
      </c>
      <c r="I544">
        <v>7.5</v>
      </c>
      <c r="J544">
        <v>90847</v>
      </c>
      <c r="K544">
        <v>163.94</v>
      </c>
      <c r="L544">
        <v>79.64</v>
      </c>
      <c r="M544" t="s">
        <v>33</v>
      </c>
      <c r="N544" t="s">
        <v>179</v>
      </c>
      <c r="O544" t="s">
        <v>59</v>
      </c>
      <c r="P544" t="s">
        <v>26</v>
      </c>
      <c r="Q544" t="s">
        <v>68</v>
      </c>
    </row>
    <row r="545" spans="1:17" x14ac:dyDescent="0.3">
      <c r="A545" t="s">
        <v>1189</v>
      </c>
      <c r="B545" t="s">
        <v>1190</v>
      </c>
      <c r="C545" t="s">
        <v>86</v>
      </c>
      <c r="D545" t="s">
        <v>87</v>
      </c>
      <c r="E545" t="s">
        <v>88</v>
      </c>
      <c r="F545">
        <v>2017</v>
      </c>
      <c r="G545" t="s">
        <v>65</v>
      </c>
      <c r="H545">
        <v>110</v>
      </c>
      <c r="I545">
        <v>7.6</v>
      </c>
      <c r="J545">
        <v>34162</v>
      </c>
      <c r="K545">
        <v>919.56</v>
      </c>
      <c r="L545">
        <v>143.61000000000001</v>
      </c>
      <c r="M545" t="s">
        <v>42</v>
      </c>
      <c r="N545" t="s">
        <v>101</v>
      </c>
      <c r="O545" t="s">
        <v>44</v>
      </c>
      <c r="P545" t="s">
        <v>26</v>
      </c>
      <c r="Q545" t="s">
        <v>54</v>
      </c>
    </row>
    <row r="546" spans="1:17" x14ac:dyDescent="0.3">
      <c r="A546" t="s">
        <v>1191</v>
      </c>
      <c r="B546" t="s">
        <v>1192</v>
      </c>
      <c r="C546" t="s">
        <v>63</v>
      </c>
      <c r="D546" t="s">
        <v>20</v>
      </c>
      <c r="E546" t="s">
        <v>31</v>
      </c>
      <c r="F546">
        <v>2023</v>
      </c>
      <c r="G546" t="s">
        <v>96</v>
      </c>
      <c r="H546">
        <v>124</v>
      </c>
      <c r="J546">
        <v>221056</v>
      </c>
      <c r="K546">
        <v>1285.6300000000001</v>
      </c>
      <c r="L546">
        <v>187.58</v>
      </c>
      <c r="M546" t="s">
        <v>78</v>
      </c>
      <c r="N546" t="s">
        <v>179</v>
      </c>
      <c r="O546" t="s">
        <v>25</v>
      </c>
      <c r="P546" t="s">
        <v>45</v>
      </c>
      <c r="Q546" t="s">
        <v>36</v>
      </c>
    </row>
    <row r="547" spans="1:17" x14ac:dyDescent="0.3">
      <c r="A547" t="s">
        <v>1193</v>
      </c>
      <c r="B547" t="s">
        <v>1194</v>
      </c>
      <c r="C547" t="s">
        <v>19</v>
      </c>
      <c r="D547" t="s">
        <v>20</v>
      </c>
      <c r="E547" t="s">
        <v>31</v>
      </c>
      <c r="F547">
        <v>2018</v>
      </c>
      <c r="G547" t="s">
        <v>108</v>
      </c>
      <c r="H547">
        <v>172</v>
      </c>
      <c r="I547">
        <v>6.7</v>
      </c>
      <c r="J547">
        <v>884190</v>
      </c>
      <c r="K547">
        <v>706.49</v>
      </c>
      <c r="L547">
        <v>179.37</v>
      </c>
      <c r="M547" t="s">
        <v>78</v>
      </c>
      <c r="N547" t="s">
        <v>24</v>
      </c>
      <c r="O547" t="s">
        <v>166</v>
      </c>
      <c r="P547" t="s">
        <v>26</v>
      </c>
      <c r="Q547" t="s">
        <v>68</v>
      </c>
    </row>
    <row r="548" spans="1:17" x14ac:dyDescent="0.3">
      <c r="A548" t="s">
        <v>1195</v>
      </c>
      <c r="B548" t="s">
        <v>1196</v>
      </c>
      <c r="C548" t="s">
        <v>19</v>
      </c>
      <c r="D548" t="s">
        <v>211</v>
      </c>
      <c r="E548" t="s">
        <v>82</v>
      </c>
      <c r="F548">
        <v>2020</v>
      </c>
      <c r="G548" t="s">
        <v>65</v>
      </c>
      <c r="H548">
        <v>114</v>
      </c>
      <c r="I548">
        <v>6.2</v>
      </c>
      <c r="J548">
        <v>862522</v>
      </c>
      <c r="K548">
        <v>29.02</v>
      </c>
      <c r="L548">
        <v>9.9600000000000009</v>
      </c>
      <c r="M548" t="s">
        <v>212</v>
      </c>
      <c r="N548" t="s">
        <v>43</v>
      </c>
      <c r="O548" t="s">
        <v>151</v>
      </c>
      <c r="P548" t="s">
        <v>45</v>
      </c>
      <c r="Q548" t="s">
        <v>123</v>
      </c>
    </row>
    <row r="549" spans="1:17" x14ac:dyDescent="0.3">
      <c r="A549" t="s">
        <v>1197</v>
      </c>
      <c r="B549" t="s">
        <v>1198</v>
      </c>
      <c r="C549" t="s">
        <v>63</v>
      </c>
      <c r="D549" t="s">
        <v>87</v>
      </c>
      <c r="E549" t="s">
        <v>82</v>
      </c>
      <c r="F549">
        <v>2015</v>
      </c>
      <c r="G549" t="s">
        <v>155</v>
      </c>
      <c r="H549">
        <v>111</v>
      </c>
      <c r="I549">
        <v>8</v>
      </c>
      <c r="J549">
        <v>543842</v>
      </c>
      <c r="K549">
        <v>731.41</v>
      </c>
      <c r="L549">
        <v>227.12</v>
      </c>
      <c r="M549" t="s">
        <v>42</v>
      </c>
      <c r="N549" t="s">
        <v>66</v>
      </c>
      <c r="O549" t="s">
        <v>59</v>
      </c>
      <c r="P549" t="s">
        <v>26</v>
      </c>
      <c r="Q549" t="s">
        <v>152</v>
      </c>
    </row>
    <row r="550" spans="1:17" x14ac:dyDescent="0.3">
      <c r="A550" t="s">
        <v>1199</v>
      </c>
      <c r="B550" t="s">
        <v>1200</v>
      </c>
      <c r="C550" t="s">
        <v>39</v>
      </c>
      <c r="D550" t="s">
        <v>72</v>
      </c>
      <c r="E550" t="s">
        <v>41</v>
      </c>
      <c r="F550">
        <v>2023</v>
      </c>
      <c r="G550" t="s">
        <v>126</v>
      </c>
      <c r="H550">
        <v>163</v>
      </c>
      <c r="I550">
        <v>7.4</v>
      </c>
      <c r="J550">
        <v>83660</v>
      </c>
      <c r="K550">
        <v>278.39</v>
      </c>
      <c r="L550">
        <v>128.80000000000001</v>
      </c>
      <c r="M550" t="s">
        <v>42</v>
      </c>
      <c r="N550" t="s">
        <v>101</v>
      </c>
      <c r="O550" t="s">
        <v>136</v>
      </c>
      <c r="P550" t="s">
        <v>26</v>
      </c>
      <c r="Q550" t="s">
        <v>60</v>
      </c>
    </row>
    <row r="551" spans="1:17" x14ac:dyDescent="0.3">
      <c r="A551" t="s">
        <v>1201</v>
      </c>
      <c r="B551" t="s">
        <v>1202</v>
      </c>
      <c r="C551" t="s">
        <v>19</v>
      </c>
      <c r="D551" t="s">
        <v>64</v>
      </c>
      <c r="E551" t="s">
        <v>31</v>
      </c>
      <c r="F551">
        <v>2017</v>
      </c>
      <c r="G551" t="s">
        <v>113</v>
      </c>
      <c r="H551">
        <v>190</v>
      </c>
      <c r="I551">
        <v>6.3</v>
      </c>
      <c r="J551">
        <v>676801</v>
      </c>
      <c r="K551">
        <v>107.96</v>
      </c>
      <c r="L551">
        <v>22.84</v>
      </c>
      <c r="M551" t="s">
        <v>42</v>
      </c>
      <c r="N551" t="s">
        <v>73</v>
      </c>
      <c r="O551" t="s">
        <v>148</v>
      </c>
      <c r="P551" t="s">
        <v>26</v>
      </c>
      <c r="Q551" t="s">
        <v>123</v>
      </c>
    </row>
    <row r="552" spans="1:17" x14ac:dyDescent="0.3">
      <c r="A552" t="s">
        <v>1203</v>
      </c>
      <c r="B552" t="s">
        <v>1204</v>
      </c>
      <c r="C552" t="s">
        <v>63</v>
      </c>
      <c r="D552" t="s">
        <v>87</v>
      </c>
      <c r="E552" t="s">
        <v>82</v>
      </c>
      <c r="F552">
        <v>2023</v>
      </c>
      <c r="G552" t="s">
        <v>50</v>
      </c>
      <c r="H552">
        <v>153</v>
      </c>
      <c r="I552">
        <v>6.6</v>
      </c>
      <c r="J552">
        <v>398500</v>
      </c>
      <c r="K552">
        <v>506.88</v>
      </c>
      <c r="L552">
        <v>206.19</v>
      </c>
      <c r="M552" t="s">
        <v>42</v>
      </c>
      <c r="N552" t="s">
        <v>133</v>
      </c>
      <c r="O552" t="s">
        <v>44</v>
      </c>
      <c r="P552" t="s">
        <v>26</v>
      </c>
      <c r="Q552" t="s">
        <v>123</v>
      </c>
    </row>
    <row r="553" spans="1:17" x14ac:dyDescent="0.3">
      <c r="A553" t="s">
        <v>1205</v>
      </c>
      <c r="B553" t="s">
        <v>1206</v>
      </c>
      <c r="C553" t="s">
        <v>19</v>
      </c>
      <c r="D553" t="s">
        <v>87</v>
      </c>
      <c r="E553" t="s">
        <v>21</v>
      </c>
      <c r="F553">
        <v>2022</v>
      </c>
      <c r="G553" t="s">
        <v>77</v>
      </c>
      <c r="H553">
        <v>109</v>
      </c>
      <c r="I553">
        <v>7.8</v>
      </c>
      <c r="J553">
        <v>402374</v>
      </c>
      <c r="K553">
        <v>359.29</v>
      </c>
      <c r="L553">
        <v>59.92</v>
      </c>
      <c r="M553" t="s">
        <v>42</v>
      </c>
      <c r="N553" t="s">
        <v>34</v>
      </c>
      <c r="O553" t="s">
        <v>67</v>
      </c>
      <c r="P553" t="s">
        <v>26</v>
      </c>
      <c r="Q553" t="s">
        <v>27</v>
      </c>
    </row>
    <row r="554" spans="1:17" x14ac:dyDescent="0.3">
      <c r="A554" t="s">
        <v>1207</v>
      </c>
      <c r="B554" t="s">
        <v>1208</v>
      </c>
      <c r="C554" t="s">
        <v>39</v>
      </c>
      <c r="D554" t="s">
        <v>20</v>
      </c>
      <c r="E554" t="s">
        <v>88</v>
      </c>
      <c r="F554">
        <v>2021</v>
      </c>
      <c r="G554" t="s">
        <v>93</v>
      </c>
      <c r="H554">
        <v>91</v>
      </c>
      <c r="I554">
        <v>6.3</v>
      </c>
      <c r="J554">
        <v>703612</v>
      </c>
      <c r="K554">
        <v>41.52</v>
      </c>
      <c r="L554">
        <v>16.04</v>
      </c>
      <c r="M554" t="s">
        <v>23</v>
      </c>
      <c r="N554" t="s">
        <v>140</v>
      </c>
      <c r="O554" t="s">
        <v>44</v>
      </c>
      <c r="P554" t="s">
        <v>26</v>
      </c>
      <c r="Q554" t="s">
        <v>68</v>
      </c>
    </row>
    <row r="555" spans="1:17" x14ac:dyDescent="0.3">
      <c r="A555" t="s">
        <v>1209</v>
      </c>
      <c r="B555" t="s">
        <v>1210</v>
      </c>
      <c r="C555" t="s">
        <v>144</v>
      </c>
      <c r="D555" t="s">
        <v>40</v>
      </c>
      <c r="E555" t="s">
        <v>139</v>
      </c>
      <c r="F555">
        <v>2017</v>
      </c>
      <c r="G555" t="s">
        <v>77</v>
      </c>
      <c r="H555">
        <v>93</v>
      </c>
      <c r="I555">
        <v>7.5</v>
      </c>
      <c r="J555">
        <v>436120</v>
      </c>
      <c r="K555">
        <v>143.21</v>
      </c>
      <c r="L555">
        <v>43.68</v>
      </c>
      <c r="M555" t="s">
        <v>42</v>
      </c>
      <c r="N555" t="s">
        <v>89</v>
      </c>
      <c r="O555" t="s">
        <v>141</v>
      </c>
      <c r="P555" t="s">
        <v>45</v>
      </c>
      <c r="Q555" t="s">
        <v>152</v>
      </c>
    </row>
    <row r="556" spans="1:17" x14ac:dyDescent="0.3">
      <c r="A556" t="s">
        <v>1211</v>
      </c>
      <c r="B556" t="s">
        <v>1212</v>
      </c>
      <c r="C556" t="s">
        <v>104</v>
      </c>
      <c r="D556" t="s">
        <v>20</v>
      </c>
      <c r="E556" t="s">
        <v>88</v>
      </c>
      <c r="F556">
        <v>2016</v>
      </c>
      <c r="G556" t="s">
        <v>155</v>
      </c>
      <c r="H556">
        <v>153</v>
      </c>
      <c r="I556">
        <v>7.2</v>
      </c>
      <c r="J556">
        <v>357499</v>
      </c>
      <c r="K556">
        <v>110.13</v>
      </c>
      <c r="L556">
        <v>29.66</v>
      </c>
      <c r="M556" t="s">
        <v>33</v>
      </c>
      <c r="N556" t="s">
        <v>73</v>
      </c>
      <c r="O556" t="s">
        <v>44</v>
      </c>
      <c r="P556" t="s">
        <v>45</v>
      </c>
      <c r="Q556" t="s">
        <v>68</v>
      </c>
    </row>
    <row r="557" spans="1:17" x14ac:dyDescent="0.3">
      <c r="A557" t="s">
        <v>1213</v>
      </c>
      <c r="B557" t="s">
        <v>1214</v>
      </c>
      <c r="C557" t="s">
        <v>19</v>
      </c>
      <c r="D557" t="s">
        <v>20</v>
      </c>
      <c r="E557" t="s">
        <v>139</v>
      </c>
      <c r="F557">
        <v>2018</v>
      </c>
      <c r="G557" t="s">
        <v>32</v>
      </c>
      <c r="H557">
        <v>174</v>
      </c>
      <c r="I557">
        <v>7</v>
      </c>
      <c r="J557">
        <v>403430</v>
      </c>
      <c r="K557">
        <v>303.39</v>
      </c>
      <c r="L557">
        <v>124.61</v>
      </c>
      <c r="M557" t="s">
        <v>51</v>
      </c>
      <c r="N557" t="s">
        <v>66</v>
      </c>
      <c r="O557" t="s">
        <v>199</v>
      </c>
      <c r="P557" t="s">
        <v>26</v>
      </c>
      <c r="Q557" t="s">
        <v>36</v>
      </c>
    </row>
    <row r="558" spans="1:17" x14ac:dyDescent="0.3">
      <c r="A558" t="s">
        <v>1215</v>
      </c>
      <c r="B558" t="s">
        <v>1216</v>
      </c>
      <c r="C558" t="s">
        <v>19</v>
      </c>
      <c r="D558" t="s">
        <v>87</v>
      </c>
      <c r="E558" t="s">
        <v>82</v>
      </c>
      <c r="F558">
        <v>2025</v>
      </c>
      <c r="G558" t="s">
        <v>93</v>
      </c>
      <c r="H558">
        <v>186</v>
      </c>
      <c r="I558">
        <v>8.1999999999999993</v>
      </c>
      <c r="J558">
        <v>379852</v>
      </c>
      <c r="K558">
        <v>206.75</v>
      </c>
      <c r="L558">
        <v>128.16999999999999</v>
      </c>
      <c r="M558" t="s">
        <v>42</v>
      </c>
      <c r="N558" t="s">
        <v>52</v>
      </c>
      <c r="O558" t="s">
        <v>105</v>
      </c>
      <c r="P558" t="s">
        <v>26</v>
      </c>
      <c r="Q558" t="s">
        <v>68</v>
      </c>
    </row>
    <row r="559" spans="1:17" x14ac:dyDescent="0.3">
      <c r="A559" t="s">
        <v>1217</v>
      </c>
      <c r="B559" t="s">
        <v>1218</v>
      </c>
      <c r="C559" t="s">
        <v>39</v>
      </c>
      <c r="D559" t="s">
        <v>72</v>
      </c>
      <c r="E559" t="s">
        <v>41</v>
      </c>
      <c r="F559">
        <v>2025</v>
      </c>
      <c r="G559" t="s">
        <v>113</v>
      </c>
      <c r="H559">
        <v>171</v>
      </c>
      <c r="I559">
        <v>6.8</v>
      </c>
      <c r="J559">
        <v>433259</v>
      </c>
      <c r="K559">
        <v>1018.07</v>
      </c>
      <c r="L559">
        <v>238.95</v>
      </c>
      <c r="M559" t="s">
        <v>42</v>
      </c>
      <c r="N559" t="s">
        <v>24</v>
      </c>
      <c r="O559" t="s">
        <v>44</v>
      </c>
      <c r="P559" t="s">
        <v>26</v>
      </c>
      <c r="Q559" t="s">
        <v>54</v>
      </c>
    </row>
    <row r="560" spans="1:17" x14ac:dyDescent="0.3">
      <c r="A560" t="s">
        <v>1219</v>
      </c>
      <c r="B560" t="s">
        <v>1220</v>
      </c>
      <c r="C560" t="s">
        <v>130</v>
      </c>
      <c r="D560" t="s">
        <v>20</v>
      </c>
      <c r="E560" t="s">
        <v>41</v>
      </c>
      <c r="F560">
        <v>2019</v>
      </c>
      <c r="G560" t="s">
        <v>126</v>
      </c>
      <c r="H560">
        <v>164</v>
      </c>
      <c r="I560">
        <v>5.7</v>
      </c>
      <c r="J560">
        <v>704669</v>
      </c>
      <c r="K560">
        <v>684.74</v>
      </c>
      <c r="L560">
        <v>93.98</v>
      </c>
      <c r="M560" t="s">
        <v>51</v>
      </c>
      <c r="N560" t="s">
        <v>83</v>
      </c>
      <c r="O560" t="s">
        <v>120</v>
      </c>
      <c r="P560" t="s">
        <v>26</v>
      </c>
      <c r="Q560" t="s">
        <v>36</v>
      </c>
    </row>
    <row r="561" spans="1:17" x14ac:dyDescent="0.3">
      <c r="A561" t="s">
        <v>1221</v>
      </c>
      <c r="B561" t="s">
        <v>1222</v>
      </c>
      <c r="C561" t="s">
        <v>39</v>
      </c>
      <c r="D561" t="s">
        <v>20</v>
      </c>
      <c r="E561" t="s">
        <v>88</v>
      </c>
      <c r="F561">
        <v>2023</v>
      </c>
      <c r="G561" t="s">
        <v>126</v>
      </c>
      <c r="H561">
        <v>159</v>
      </c>
      <c r="I561">
        <v>8.3000000000000007</v>
      </c>
      <c r="J561">
        <v>721868</v>
      </c>
      <c r="K561">
        <v>547.79</v>
      </c>
      <c r="L561">
        <v>144.66</v>
      </c>
      <c r="M561" t="s">
        <v>33</v>
      </c>
      <c r="N561" t="s">
        <v>89</v>
      </c>
      <c r="O561" t="s">
        <v>97</v>
      </c>
      <c r="P561" t="s">
        <v>26</v>
      </c>
      <c r="Q561" t="s">
        <v>54</v>
      </c>
    </row>
    <row r="562" spans="1:17" x14ac:dyDescent="0.3">
      <c r="A562" t="s">
        <v>408</v>
      </c>
      <c r="B562" t="s">
        <v>409</v>
      </c>
      <c r="C562" t="s">
        <v>39</v>
      </c>
      <c r="D562" t="s">
        <v>20</v>
      </c>
      <c r="E562" t="s">
        <v>92</v>
      </c>
      <c r="F562">
        <v>2024</v>
      </c>
      <c r="G562" t="s">
        <v>22</v>
      </c>
      <c r="H562">
        <v>90</v>
      </c>
      <c r="I562">
        <v>7.5</v>
      </c>
      <c r="J562">
        <v>110293</v>
      </c>
      <c r="K562">
        <v>1298.7</v>
      </c>
      <c r="L562">
        <v>185.62</v>
      </c>
      <c r="M562" t="s">
        <v>23</v>
      </c>
      <c r="N562" t="s">
        <v>133</v>
      </c>
      <c r="O562" t="s">
        <v>35</v>
      </c>
      <c r="P562" t="s">
        <v>26</v>
      </c>
      <c r="Q562" t="s">
        <v>60</v>
      </c>
    </row>
    <row r="563" spans="1:17" x14ac:dyDescent="0.3">
      <c r="A563" t="s">
        <v>1223</v>
      </c>
      <c r="B563" t="s">
        <v>1224</v>
      </c>
      <c r="C563" t="s">
        <v>39</v>
      </c>
      <c r="D563" t="s">
        <v>81</v>
      </c>
      <c r="E563" t="s">
        <v>31</v>
      </c>
      <c r="F563">
        <v>2019</v>
      </c>
      <c r="G563" t="s">
        <v>65</v>
      </c>
      <c r="H563">
        <v>115</v>
      </c>
      <c r="I563">
        <v>7.3</v>
      </c>
      <c r="J563">
        <v>453486</v>
      </c>
      <c r="K563">
        <v>606.24</v>
      </c>
      <c r="L563">
        <v>176.15</v>
      </c>
      <c r="M563" t="s">
        <v>42</v>
      </c>
      <c r="N563" t="s">
        <v>24</v>
      </c>
      <c r="O563" t="s">
        <v>166</v>
      </c>
      <c r="P563" t="s">
        <v>26</v>
      </c>
      <c r="Q563" t="s">
        <v>27</v>
      </c>
    </row>
    <row r="564" spans="1:17" x14ac:dyDescent="0.3">
      <c r="A564" t="s">
        <v>1225</v>
      </c>
      <c r="B564" t="s">
        <v>1226</v>
      </c>
      <c r="C564" t="s">
        <v>39</v>
      </c>
      <c r="D564" t="s">
        <v>40</v>
      </c>
      <c r="E564" t="s">
        <v>208</v>
      </c>
      <c r="F564">
        <v>2023</v>
      </c>
      <c r="G564" t="s">
        <v>100</v>
      </c>
      <c r="H564">
        <v>190</v>
      </c>
      <c r="I564">
        <v>7.6</v>
      </c>
      <c r="J564">
        <v>3489</v>
      </c>
      <c r="K564">
        <v>202.02</v>
      </c>
      <c r="L564">
        <v>72.14</v>
      </c>
      <c r="M564" t="s">
        <v>42</v>
      </c>
      <c r="N564" t="s">
        <v>119</v>
      </c>
      <c r="O564" t="s">
        <v>105</v>
      </c>
      <c r="P564" t="s">
        <v>26</v>
      </c>
      <c r="Q564" t="s">
        <v>60</v>
      </c>
    </row>
    <row r="565" spans="1:17" x14ac:dyDescent="0.3">
      <c r="A565" t="s">
        <v>1227</v>
      </c>
      <c r="B565" t="s">
        <v>1228</v>
      </c>
      <c r="C565" t="s">
        <v>39</v>
      </c>
      <c r="D565" t="s">
        <v>64</v>
      </c>
      <c r="E565" t="s">
        <v>82</v>
      </c>
      <c r="F565">
        <v>2016</v>
      </c>
      <c r="G565" t="s">
        <v>108</v>
      </c>
      <c r="H565">
        <v>179</v>
      </c>
      <c r="I565">
        <v>7.2</v>
      </c>
      <c r="J565">
        <v>370212</v>
      </c>
      <c r="K565">
        <v>858.88</v>
      </c>
      <c r="L565">
        <v>137.41</v>
      </c>
      <c r="M565" t="s">
        <v>42</v>
      </c>
      <c r="N565" t="s">
        <v>119</v>
      </c>
      <c r="O565" t="s">
        <v>59</v>
      </c>
      <c r="P565" t="s">
        <v>26</v>
      </c>
      <c r="Q565" t="s">
        <v>123</v>
      </c>
    </row>
    <row r="566" spans="1:17" x14ac:dyDescent="0.3">
      <c r="A566" t="s">
        <v>1229</v>
      </c>
      <c r="B566" t="s">
        <v>1230</v>
      </c>
      <c r="C566" t="s">
        <v>19</v>
      </c>
      <c r="D566" t="s">
        <v>20</v>
      </c>
      <c r="E566" t="s">
        <v>31</v>
      </c>
      <c r="F566">
        <v>2024</v>
      </c>
      <c r="G566" t="s">
        <v>32</v>
      </c>
      <c r="H566">
        <v>111</v>
      </c>
      <c r="I566">
        <v>6.8</v>
      </c>
      <c r="J566">
        <v>338037</v>
      </c>
      <c r="K566">
        <v>651.09</v>
      </c>
      <c r="L566">
        <v>194.33</v>
      </c>
      <c r="M566" t="s">
        <v>78</v>
      </c>
      <c r="N566" t="s">
        <v>140</v>
      </c>
      <c r="O566" t="s">
        <v>44</v>
      </c>
      <c r="P566" t="s">
        <v>26</v>
      </c>
      <c r="Q566" t="s">
        <v>60</v>
      </c>
    </row>
    <row r="567" spans="1:17" x14ac:dyDescent="0.3">
      <c r="A567" t="s">
        <v>1231</v>
      </c>
      <c r="B567" t="s">
        <v>1232</v>
      </c>
      <c r="C567" t="s">
        <v>116</v>
      </c>
      <c r="D567" t="s">
        <v>20</v>
      </c>
      <c r="E567" t="s">
        <v>41</v>
      </c>
      <c r="F567">
        <v>2024</v>
      </c>
      <c r="G567" t="s">
        <v>32</v>
      </c>
      <c r="H567">
        <v>140</v>
      </c>
      <c r="I567">
        <v>5.6</v>
      </c>
      <c r="J567">
        <v>193155</v>
      </c>
      <c r="K567">
        <v>252.35</v>
      </c>
      <c r="L567">
        <v>175.23</v>
      </c>
      <c r="M567" t="s">
        <v>51</v>
      </c>
      <c r="N567" t="s">
        <v>179</v>
      </c>
      <c r="O567" t="s">
        <v>120</v>
      </c>
      <c r="P567" t="s">
        <v>26</v>
      </c>
      <c r="Q567" t="s">
        <v>123</v>
      </c>
    </row>
    <row r="568" spans="1:17" x14ac:dyDescent="0.3">
      <c r="A568" t="s">
        <v>1233</v>
      </c>
      <c r="B568" t="s">
        <v>1234</v>
      </c>
      <c r="C568" t="s">
        <v>30</v>
      </c>
      <c r="D568" t="s">
        <v>20</v>
      </c>
      <c r="E568" t="s">
        <v>41</v>
      </c>
      <c r="F568">
        <v>2019</v>
      </c>
      <c r="G568" t="s">
        <v>32</v>
      </c>
      <c r="H568">
        <v>164</v>
      </c>
      <c r="I568">
        <v>8.1</v>
      </c>
      <c r="J568">
        <v>133781</v>
      </c>
      <c r="K568">
        <v>828.63</v>
      </c>
      <c r="L568">
        <v>127.39</v>
      </c>
      <c r="M568" t="s">
        <v>78</v>
      </c>
      <c r="N568" t="s">
        <v>140</v>
      </c>
      <c r="O568" t="s">
        <v>105</v>
      </c>
      <c r="P568" t="s">
        <v>45</v>
      </c>
      <c r="Q568" t="s">
        <v>54</v>
      </c>
    </row>
    <row r="569" spans="1:17" x14ac:dyDescent="0.3">
      <c r="A569" t="s">
        <v>1235</v>
      </c>
      <c r="B569" t="s">
        <v>1236</v>
      </c>
      <c r="C569" t="s">
        <v>39</v>
      </c>
      <c r="D569" t="s">
        <v>20</v>
      </c>
      <c r="E569" t="s">
        <v>88</v>
      </c>
      <c r="F569">
        <v>2015</v>
      </c>
      <c r="G569" t="s">
        <v>155</v>
      </c>
      <c r="H569">
        <v>163</v>
      </c>
      <c r="I569">
        <v>7.6</v>
      </c>
      <c r="J569">
        <v>829078</v>
      </c>
      <c r="K569">
        <v>460.74</v>
      </c>
      <c r="L569">
        <v>144.02000000000001</v>
      </c>
      <c r="M569" t="s">
        <v>78</v>
      </c>
      <c r="N569" t="s">
        <v>101</v>
      </c>
      <c r="O569" t="s">
        <v>141</v>
      </c>
      <c r="P569" t="s">
        <v>26</v>
      </c>
      <c r="Q569" t="s">
        <v>60</v>
      </c>
    </row>
    <row r="570" spans="1:17" x14ac:dyDescent="0.3">
      <c r="A570" t="s">
        <v>1237</v>
      </c>
      <c r="B570" t="s">
        <v>1238</v>
      </c>
      <c r="C570" t="s">
        <v>39</v>
      </c>
      <c r="D570" t="s">
        <v>20</v>
      </c>
      <c r="E570" t="s">
        <v>49</v>
      </c>
      <c r="F570">
        <v>2024</v>
      </c>
      <c r="G570" t="s">
        <v>32</v>
      </c>
      <c r="H570">
        <v>165</v>
      </c>
      <c r="I570">
        <v>6.9</v>
      </c>
      <c r="J570">
        <v>760046</v>
      </c>
      <c r="K570">
        <v>1219.3900000000001</v>
      </c>
      <c r="L570">
        <v>172.79</v>
      </c>
      <c r="M570" t="s">
        <v>78</v>
      </c>
      <c r="N570" t="s">
        <v>109</v>
      </c>
      <c r="O570" t="s">
        <v>136</v>
      </c>
      <c r="P570" t="s">
        <v>26</v>
      </c>
      <c r="Q570" t="s">
        <v>60</v>
      </c>
    </row>
    <row r="571" spans="1:17" x14ac:dyDescent="0.3">
      <c r="A571" t="s">
        <v>1239</v>
      </c>
      <c r="B571" t="s">
        <v>1240</v>
      </c>
      <c r="C571" t="s">
        <v>144</v>
      </c>
      <c r="D571" t="s">
        <v>20</v>
      </c>
      <c r="E571" t="s">
        <v>88</v>
      </c>
      <c r="F571">
        <v>2019</v>
      </c>
      <c r="G571" t="s">
        <v>32</v>
      </c>
      <c r="H571">
        <v>106</v>
      </c>
      <c r="I571">
        <v>7.3</v>
      </c>
      <c r="J571">
        <v>516153</v>
      </c>
      <c r="K571">
        <v>314.83999999999997</v>
      </c>
      <c r="L571">
        <v>108.81</v>
      </c>
      <c r="M571" t="s">
        <v>33</v>
      </c>
      <c r="N571" t="s">
        <v>89</v>
      </c>
      <c r="O571" t="s">
        <v>199</v>
      </c>
      <c r="P571" t="s">
        <v>45</v>
      </c>
      <c r="Q571" t="s">
        <v>123</v>
      </c>
    </row>
    <row r="572" spans="1:17" x14ac:dyDescent="0.3">
      <c r="A572" t="s">
        <v>1241</v>
      </c>
      <c r="B572" t="s">
        <v>1242</v>
      </c>
      <c r="C572" t="s">
        <v>144</v>
      </c>
      <c r="D572" t="s">
        <v>20</v>
      </c>
      <c r="E572" t="s">
        <v>88</v>
      </c>
      <c r="F572">
        <v>2023</v>
      </c>
      <c r="G572" t="s">
        <v>32</v>
      </c>
      <c r="H572">
        <v>178</v>
      </c>
      <c r="I572">
        <v>9.1</v>
      </c>
      <c r="J572">
        <v>567162</v>
      </c>
      <c r="K572">
        <v>182.1</v>
      </c>
      <c r="L572">
        <v>67.790000000000006</v>
      </c>
      <c r="M572" t="s">
        <v>23</v>
      </c>
      <c r="N572" t="s">
        <v>43</v>
      </c>
      <c r="O572" t="s">
        <v>53</v>
      </c>
      <c r="P572" t="s">
        <v>26</v>
      </c>
      <c r="Q572" t="s">
        <v>60</v>
      </c>
    </row>
    <row r="573" spans="1:17" x14ac:dyDescent="0.3">
      <c r="A573" t="s">
        <v>1243</v>
      </c>
      <c r="B573" t="s">
        <v>1244</v>
      </c>
      <c r="C573" t="s">
        <v>48</v>
      </c>
      <c r="D573" t="s">
        <v>40</v>
      </c>
      <c r="E573" t="s">
        <v>41</v>
      </c>
      <c r="F573">
        <v>2024</v>
      </c>
      <c r="G573" t="s">
        <v>100</v>
      </c>
      <c r="H573">
        <v>147</v>
      </c>
      <c r="I573">
        <v>6.6</v>
      </c>
      <c r="J573">
        <v>192555</v>
      </c>
      <c r="K573">
        <v>1707.46</v>
      </c>
      <c r="L573">
        <v>246.13</v>
      </c>
      <c r="M573" t="s">
        <v>42</v>
      </c>
      <c r="N573" t="s">
        <v>109</v>
      </c>
      <c r="O573" t="s">
        <v>141</v>
      </c>
      <c r="P573" t="s">
        <v>45</v>
      </c>
      <c r="Q573" t="s">
        <v>36</v>
      </c>
    </row>
    <row r="574" spans="1:17" x14ac:dyDescent="0.3">
      <c r="A574" t="s">
        <v>1245</v>
      </c>
      <c r="B574" t="s">
        <v>1246</v>
      </c>
      <c r="C574" t="s">
        <v>144</v>
      </c>
      <c r="D574" t="s">
        <v>20</v>
      </c>
      <c r="E574" t="s">
        <v>88</v>
      </c>
      <c r="F574">
        <v>2022</v>
      </c>
      <c r="G574" t="s">
        <v>93</v>
      </c>
      <c r="H574">
        <v>162</v>
      </c>
      <c r="I574">
        <v>6.5</v>
      </c>
      <c r="J574">
        <v>937316</v>
      </c>
      <c r="K574">
        <v>389.21</v>
      </c>
      <c r="L574">
        <v>129.85</v>
      </c>
      <c r="M574" t="s">
        <v>78</v>
      </c>
      <c r="N574" t="s">
        <v>133</v>
      </c>
      <c r="O574" t="s">
        <v>166</v>
      </c>
      <c r="P574" t="s">
        <v>45</v>
      </c>
      <c r="Q574" t="s">
        <v>123</v>
      </c>
    </row>
    <row r="575" spans="1:17" x14ac:dyDescent="0.3">
      <c r="A575" t="s">
        <v>1247</v>
      </c>
      <c r="B575" t="s">
        <v>1248</v>
      </c>
      <c r="C575" t="s">
        <v>39</v>
      </c>
      <c r="D575" t="s">
        <v>20</v>
      </c>
      <c r="E575" t="s">
        <v>88</v>
      </c>
      <c r="F575">
        <v>2022</v>
      </c>
      <c r="G575" t="s">
        <v>22</v>
      </c>
      <c r="H575">
        <v>148</v>
      </c>
      <c r="I575">
        <v>7.1</v>
      </c>
      <c r="J575">
        <v>926381</v>
      </c>
      <c r="K575">
        <v>280.23</v>
      </c>
      <c r="L575">
        <v>124.38</v>
      </c>
      <c r="M575" t="s">
        <v>33</v>
      </c>
      <c r="N575" t="s">
        <v>89</v>
      </c>
      <c r="O575" t="s">
        <v>25</v>
      </c>
      <c r="P575" t="s">
        <v>26</v>
      </c>
      <c r="Q575" t="s">
        <v>152</v>
      </c>
    </row>
    <row r="576" spans="1:17" x14ac:dyDescent="0.3">
      <c r="A576" t="s">
        <v>1249</v>
      </c>
      <c r="B576" t="s">
        <v>1250</v>
      </c>
      <c r="C576" t="s">
        <v>19</v>
      </c>
      <c r="D576" t="s">
        <v>87</v>
      </c>
      <c r="E576" t="s">
        <v>41</v>
      </c>
      <c r="F576">
        <v>2015</v>
      </c>
      <c r="G576" t="s">
        <v>93</v>
      </c>
      <c r="H576">
        <v>118</v>
      </c>
      <c r="I576">
        <v>6.9</v>
      </c>
      <c r="J576">
        <v>668282</v>
      </c>
      <c r="K576">
        <v>617.47</v>
      </c>
      <c r="L576">
        <v>119.19</v>
      </c>
      <c r="M576" t="s">
        <v>42</v>
      </c>
      <c r="N576" t="s">
        <v>109</v>
      </c>
      <c r="O576" t="s">
        <v>120</v>
      </c>
      <c r="P576" t="s">
        <v>26</v>
      </c>
      <c r="Q576" t="s">
        <v>123</v>
      </c>
    </row>
    <row r="577" spans="1:17" x14ac:dyDescent="0.3">
      <c r="A577" t="s">
        <v>1251</v>
      </c>
      <c r="B577" t="s">
        <v>1252</v>
      </c>
      <c r="C577" t="s">
        <v>144</v>
      </c>
      <c r="D577" t="s">
        <v>215</v>
      </c>
      <c r="E577" t="s">
        <v>88</v>
      </c>
      <c r="F577">
        <v>2020</v>
      </c>
      <c r="G577" t="s">
        <v>93</v>
      </c>
      <c r="H577">
        <v>143</v>
      </c>
      <c r="I577">
        <v>6.5</v>
      </c>
      <c r="J577">
        <v>559824</v>
      </c>
      <c r="K577">
        <v>275.8</v>
      </c>
      <c r="L577">
        <v>86.9</v>
      </c>
      <c r="M577" t="s">
        <v>484</v>
      </c>
      <c r="N577" t="s">
        <v>83</v>
      </c>
      <c r="O577" t="s">
        <v>67</v>
      </c>
      <c r="P577" t="s">
        <v>26</v>
      </c>
      <c r="Q577" t="s">
        <v>36</v>
      </c>
    </row>
    <row r="578" spans="1:17" x14ac:dyDescent="0.3">
      <c r="A578" t="s">
        <v>1253</v>
      </c>
      <c r="B578" t="s">
        <v>1254</v>
      </c>
      <c r="C578" t="s">
        <v>63</v>
      </c>
      <c r="D578" t="s">
        <v>20</v>
      </c>
      <c r="E578" t="s">
        <v>31</v>
      </c>
      <c r="F578">
        <v>2020</v>
      </c>
      <c r="G578" t="s">
        <v>32</v>
      </c>
      <c r="H578">
        <v>185</v>
      </c>
      <c r="I578">
        <v>6.8</v>
      </c>
      <c r="J578">
        <v>537065</v>
      </c>
      <c r="K578">
        <v>209.44</v>
      </c>
      <c r="L578">
        <v>30.68</v>
      </c>
      <c r="M578" t="s">
        <v>23</v>
      </c>
      <c r="N578" t="s">
        <v>140</v>
      </c>
      <c r="O578" t="s">
        <v>53</v>
      </c>
      <c r="P578" t="s">
        <v>26</v>
      </c>
      <c r="Q578" t="s">
        <v>152</v>
      </c>
    </row>
    <row r="579" spans="1:17" x14ac:dyDescent="0.3">
      <c r="A579" t="s">
        <v>1255</v>
      </c>
      <c r="B579" t="s">
        <v>1256</v>
      </c>
      <c r="C579" t="s">
        <v>63</v>
      </c>
      <c r="D579" t="s">
        <v>57</v>
      </c>
      <c r="E579" t="s">
        <v>208</v>
      </c>
      <c r="F579">
        <v>2024</v>
      </c>
      <c r="G579" t="s">
        <v>77</v>
      </c>
      <c r="H579">
        <v>190</v>
      </c>
      <c r="I579">
        <v>7.5</v>
      </c>
      <c r="J579">
        <v>295887</v>
      </c>
      <c r="K579">
        <v>382.65</v>
      </c>
      <c r="L579">
        <v>94.51</v>
      </c>
      <c r="M579" t="s">
        <v>58</v>
      </c>
      <c r="N579" t="s">
        <v>66</v>
      </c>
      <c r="O579" t="s">
        <v>120</v>
      </c>
      <c r="P579" t="s">
        <v>26</v>
      </c>
      <c r="Q579" t="s">
        <v>36</v>
      </c>
    </row>
    <row r="580" spans="1:17" x14ac:dyDescent="0.3">
      <c r="A580" t="s">
        <v>1257</v>
      </c>
      <c r="B580" t="s">
        <v>1258</v>
      </c>
      <c r="C580" t="s">
        <v>19</v>
      </c>
      <c r="D580" t="s">
        <v>211</v>
      </c>
      <c r="E580" t="s">
        <v>49</v>
      </c>
      <c r="F580">
        <v>2017</v>
      </c>
      <c r="G580" t="s">
        <v>96</v>
      </c>
      <c r="H580">
        <v>181</v>
      </c>
      <c r="I580">
        <v>6.7</v>
      </c>
      <c r="J580">
        <v>516330</v>
      </c>
      <c r="K580">
        <v>245.95</v>
      </c>
      <c r="L580">
        <v>81.52</v>
      </c>
      <c r="M580" t="s">
        <v>212</v>
      </c>
      <c r="N580" t="s">
        <v>73</v>
      </c>
      <c r="O580" t="s">
        <v>97</v>
      </c>
      <c r="P580" t="s">
        <v>26</v>
      </c>
      <c r="Q580" t="s">
        <v>60</v>
      </c>
    </row>
    <row r="581" spans="1:17" x14ac:dyDescent="0.3">
      <c r="A581" t="s">
        <v>1259</v>
      </c>
      <c r="B581" t="s">
        <v>1260</v>
      </c>
      <c r="C581" t="s">
        <v>116</v>
      </c>
      <c r="D581" t="s">
        <v>20</v>
      </c>
      <c r="E581" t="s">
        <v>88</v>
      </c>
      <c r="F581">
        <v>2017</v>
      </c>
      <c r="G581" t="s">
        <v>113</v>
      </c>
      <c r="H581">
        <v>188</v>
      </c>
      <c r="I581">
        <v>7.3</v>
      </c>
      <c r="J581">
        <v>82975</v>
      </c>
      <c r="K581">
        <v>918.47</v>
      </c>
      <c r="L581">
        <v>247.09</v>
      </c>
      <c r="M581" t="s">
        <v>23</v>
      </c>
      <c r="N581" t="s">
        <v>119</v>
      </c>
      <c r="O581" t="s">
        <v>44</v>
      </c>
      <c r="P581" t="s">
        <v>26</v>
      </c>
      <c r="Q581" t="s">
        <v>123</v>
      </c>
    </row>
    <row r="582" spans="1:17" x14ac:dyDescent="0.3">
      <c r="A582" t="s">
        <v>1261</v>
      </c>
      <c r="B582" t="s">
        <v>1262</v>
      </c>
      <c r="C582" t="s">
        <v>144</v>
      </c>
      <c r="D582" t="s">
        <v>40</v>
      </c>
      <c r="E582" t="s">
        <v>41</v>
      </c>
      <c r="F582">
        <v>2022</v>
      </c>
      <c r="G582" t="s">
        <v>155</v>
      </c>
      <c r="H582">
        <v>98</v>
      </c>
      <c r="I582">
        <v>7.7</v>
      </c>
      <c r="J582">
        <v>190433</v>
      </c>
      <c r="K582">
        <v>1541.46</v>
      </c>
      <c r="L582">
        <v>209.02</v>
      </c>
      <c r="M582" t="s">
        <v>42</v>
      </c>
      <c r="N582" t="s">
        <v>179</v>
      </c>
      <c r="O582" t="s">
        <v>97</v>
      </c>
      <c r="P582" t="s">
        <v>26</v>
      </c>
      <c r="Q582" t="s">
        <v>27</v>
      </c>
    </row>
    <row r="583" spans="1:17" x14ac:dyDescent="0.3">
      <c r="A583" t="s">
        <v>1263</v>
      </c>
      <c r="B583" t="s">
        <v>1264</v>
      </c>
      <c r="C583" t="s">
        <v>86</v>
      </c>
      <c r="D583" t="s">
        <v>171</v>
      </c>
      <c r="E583" t="s">
        <v>41</v>
      </c>
      <c r="F583">
        <v>2020</v>
      </c>
      <c r="G583" t="s">
        <v>93</v>
      </c>
      <c r="H583">
        <v>118</v>
      </c>
      <c r="I583">
        <v>7.2</v>
      </c>
      <c r="J583">
        <v>299716</v>
      </c>
      <c r="K583">
        <v>9.98</v>
      </c>
      <c r="L583">
        <v>8.81</v>
      </c>
      <c r="M583" t="s">
        <v>172</v>
      </c>
      <c r="N583" t="s">
        <v>119</v>
      </c>
      <c r="O583" t="s">
        <v>141</v>
      </c>
      <c r="P583" t="s">
        <v>26</v>
      </c>
      <c r="Q583" t="s">
        <v>123</v>
      </c>
    </row>
    <row r="584" spans="1:17" x14ac:dyDescent="0.3">
      <c r="A584" t="s">
        <v>227</v>
      </c>
      <c r="B584" t="s">
        <v>228</v>
      </c>
      <c r="C584" t="s">
        <v>19</v>
      </c>
      <c r="D584" t="s">
        <v>40</v>
      </c>
      <c r="E584" t="s">
        <v>31</v>
      </c>
      <c r="F584">
        <v>2021</v>
      </c>
      <c r="G584" t="s">
        <v>32</v>
      </c>
      <c r="H584">
        <v>132</v>
      </c>
      <c r="I584">
        <v>6.9</v>
      </c>
      <c r="J584">
        <v>667844</v>
      </c>
      <c r="K584">
        <v>69.510000000000005</v>
      </c>
      <c r="L584">
        <v>62.65</v>
      </c>
      <c r="M584" t="s">
        <v>42</v>
      </c>
      <c r="N584" t="s">
        <v>119</v>
      </c>
      <c r="O584" t="s">
        <v>127</v>
      </c>
      <c r="P584" t="s">
        <v>26</v>
      </c>
      <c r="Q584" t="s">
        <v>68</v>
      </c>
    </row>
    <row r="585" spans="1:17" x14ac:dyDescent="0.3">
      <c r="A585" t="s">
        <v>1265</v>
      </c>
      <c r="B585" t="s">
        <v>1266</v>
      </c>
      <c r="C585" t="s">
        <v>19</v>
      </c>
      <c r="D585" t="s">
        <v>20</v>
      </c>
      <c r="E585" t="s">
        <v>41</v>
      </c>
      <c r="F585">
        <v>2022</v>
      </c>
      <c r="G585" t="s">
        <v>32</v>
      </c>
      <c r="H585">
        <v>127</v>
      </c>
      <c r="I585">
        <v>7.6</v>
      </c>
      <c r="J585">
        <v>40526</v>
      </c>
      <c r="K585">
        <v>27.59</v>
      </c>
      <c r="L585">
        <v>23.71</v>
      </c>
      <c r="M585" t="s">
        <v>78</v>
      </c>
      <c r="N585" t="s">
        <v>101</v>
      </c>
      <c r="O585" t="s">
        <v>148</v>
      </c>
      <c r="P585" t="s">
        <v>45</v>
      </c>
      <c r="Q585" t="s">
        <v>68</v>
      </c>
    </row>
    <row r="586" spans="1:17" x14ac:dyDescent="0.3">
      <c r="A586" t="s">
        <v>1267</v>
      </c>
      <c r="B586" t="s">
        <v>1268</v>
      </c>
      <c r="C586" t="s">
        <v>86</v>
      </c>
      <c r="D586" t="s">
        <v>20</v>
      </c>
      <c r="E586" t="s">
        <v>31</v>
      </c>
      <c r="F586">
        <v>2020</v>
      </c>
      <c r="G586" t="s">
        <v>93</v>
      </c>
      <c r="H586">
        <v>185</v>
      </c>
      <c r="I586">
        <v>7.2</v>
      </c>
      <c r="J586">
        <v>900904</v>
      </c>
      <c r="K586">
        <v>1824.74</v>
      </c>
      <c r="L586">
        <v>246.04</v>
      </c>
      <c r="M586" t="s">
        <v>78</v>
      </c>
      <c r="N586" t="s">
        <v>52</v>
      </c>
      <c r="O586" t="s">
        <v>120</v>
      </c>
      <c r="P586" t="s">
        <v>26</v>
      </c>
      <c r="Q586" t="s">
        <v>123</v>
      </c>
    </row>
    <row r="587" spans="1:17" x14ac:dyDescent="0.3">
      <c r="A587" t="s">
        <v>1269</v>
      </c>
      <c r="B587" t="s">
        <v>1270</v>
      </c>
      <c r="C587" t="s">
        <v>130</v>
      </c>
      <c r="D587" t="s">
        <v>20</v>
      </c>
      <c r="E587" t="s">
        <v>31</v>
      </c>
      <c r="F587">
        <v>2025</v>
      </c>
      <c r="G587" t="s">
        <v>77</v>
      </c>
      <c r="H587">
        <v>143</v>
      </c>
      <c r="I587">
        <v>8.1999999999999993</v>
      </c>
      <c r="J587">
        <v>626310</v>
      </c>
      <c r="K587">
        <v>347.38</v>
      </c>
      <c r="L587">
        <v>148.47</v>
      </c>
      <c r="M587" t="s">
        <v>33</v>
      </c>
      <c r="N587" t="s">
        <v>133</v>
      </c>
      <c r="O587" t="s">
        <v>199</v>
      </c>
      <c r="P587" t="s">
        <v>26</v>
      </c>
      <c r="Q587" t="s">
        <v>36</v>
      </c>
    </row>
    <row r="588" spans="1:17" x14ac:dyDescent="0.3">
      <c r="A588" t="s">
        <v>1271</v>
      </c>
      <c r="B588" t="s">
        <v>1272</v>
      </c>
      <c r="C588" t="s">
        <v>19</v>
      </c>
      <c r="D588" t="s">
        <v>20</v>
      </c>
      <c r="E588" t="s">
        <v>208</v>
      </c>
      <c r="F588">
        <v>2025</v>
      </c>
      <c r="G588" t="s">
        <v>100</v>
      </c>
      <c r="H588">
        <v>181</v>
      </c>
      <c r="I588">
        <v>7</v>
      </c>
      <c r="J588">
        <v>695247</v>
      </c>
      <c r="K588">
        <v>759.23</v>
      </c>
      <c r="L588">
        <v>245.79</v>
      </c>
      <c r="M588" t="s">
        <v>33</v>
      </c>
      <c r="N588" t="s">
        <v>83</v>
      </c>
      <c r="O588" t="s">
        <v>136</v>
      </c>
      <c r="P588" t="s">
        <v>26</v>
      </c>
      <c r="Q588" t="s">
        <v>123</v>
      </c>
    </row>
    <row r="589" spans="1:17" x14ac:dyDescent="0.3">
      <c r="A589" t="s">
        <v>1273</v>
      </c>
      <c r="B589" t="s">
        <v>1274</v>
      </c>
      <c r="C589" t="s">
        <v>39</v>
      </c>
      <c r="D589" t="s">
        <v>20</v>
      </c>
      <c r="E589" t="s">
        <v>41</v>
      </c>
      <c r="F589">
        <v>2020</v>
      </c>
      <c r="G589" t="s">
        <v>126</v>
      </c>
      <c r="H589">
        <v>154</v>
      </c>
      <c r="I589">
        <v>8.5</v>
      </c>
      <c r="J589">
        <v>452113</v>
      </c>
      <c r="K589">
        <v>352.04</v>
      </c>
      <c r="L589">
        <v>220.27</v>
      </c>
      <c r="M589" t="s">
        <v>33</v>
      </c>
      <c r="N589" t="s">
        <v>34</v>
      </c>
      <c r="O589" t="s">
        <v>166</v>
      </c>
      <c r="P589" t="s">
        <v>26</v>
      </c>
      <c r="Q589" t="s">
        <v>27</v>
      </c>
    </row>
    <row r="590" spans="1:17" x14ac:dyDescent="0.3">
      <c r="A590" t="s">
        <v>1275</v>
      </c>
      <c r="B590" t="s">
        <v>1276</v>
      </c>
      <c r="C590" t="s">
        <v>86</v>
      </c>
      <c r="D590" t="s">
        <v>40</v>
      </c>
      <c r="E590" t="s">
        <v>41</v>
      </c>
      <c r="F590">
        <v>2019</v>
      </c>
      <c r="G590" t="s">
        <v>65</v>
      </c>
      <c r="H590">
        <v>175</v>
      </c>
      <c r="I590">
        <v>6.6</v>
      </c>
      <c r="J590">
        <v>57974</v>
      </c>
      <c r="K590">
        <v>761.96</v>
      </c>
      <c r="L590">
        <v>139.22999999999999</v>
      </c>
      <c r="M590" t="s">
        <v>42</v>
      </c>
      <c r="N590" t="s">
        <v>145</v>
      </c>
      <c r="O590" t="s">
        <v>67</v>
      </c>
      <c r="P590" t="s">
        <v>26</v>
      </c>
      <c r="Q590" t="s">
        <v>68</v>
      </c>
    </row>
    <row r="591" spans="1:17" x14ac:dyDescent="0.3">
      <c r="A591" t="s">
        <v>1107</v>
      </c>
      <c r="B591" t="s">
        <v>1108</v>
      </c>
      <c r="C591" t="s">
        <v>30</v>
      </c>
      <c r="D591" t="s">
        <v>20</v>
      </c>
      <c r="E591" t="s">
        <v>49</v>
      </c>
      <c r="F591">
        <v>2022</v>
      </c>
      <c r="G591" t="s">
        <v>100</v>
      </c>
      <c r="H591">
        <v>157</v>
      </c>
      <c r="I591">
        <v>8.1</v>
      </c>
      <c r="J591">
        <v>180879</v>
      </c>
      <c r="K591">
        <v>458.65</v>
      </c>
      <c r="L591">
        <v>197.74</v>
      </c>
      <c r="M591" t="s">
        <v>78</v>
      </c>
      <c r="N591" t="s">
        <v>140</v>
      </c>
      <c r="O591" t="s">
        <v>53</v>
      </c>
      <c r="P591" t="s">
        <v>26</v>
      </c>
      <c r="Q591" t="s">
        <v>54</v>
      </c>
    </row>
    <row r="592" spans="1:17" x14ac:dyDescent="0.3">
      <c r="A592" t="s">
        <v>1277</v>
      </c>
      <c r="B592" t="s">
        <v>1278</v>
      </c>
      <c r="C592" t="s">
        <v>86</v>
      </c>
      <c r="D592" t="s">
        <v>81</v>
      </c>
      <c r="E592" t="s">
        <v>82</v>
      </c>
      <c r="F592">
        <v>2024</v>
      </c>
      <c r="G592" t="s">
        <v>108</v>
      </c>
      <c r="H592">
        <v>145</v>
      </c>
      <c r="I592">
        <v>7.1</v>
      </c>
      <c r="J592">
        <v>475314</v>
      </c>
      <c r="K592">
        <v>178.27</v>
      </c>
      <c r="L592">
        <v>30.28</v>
      </c>
      <c r="M592" t="s">
        <v>42</v>
      </c>
      <c r="N592" t="s">
        <v>73</v>
      </c>
      <c r="O592" t="s">
        <v>136</v>
      </c>
      <c r="P592" t="s">
        <v>26</v>
      </c>
      <c r="Q592" t="s">
        <v>68</v>
      </c>
    </row>
    <row r="593" spans="1:17" x14ac:dyDescent="0.3">
      <c r="A593" t="s">
        <v>1279</v>
      </c>
      <c r="B593" t="s">
        <v>1280</v>
      </c>
      <c r="C593" t="s">
        <v>30</v>
      </c>
      <c r="D593" t="s">
        <v>20</v>
      </c>
      <c r="E593" t="s">
        <v>88</v>
      </c>
      <c r="F593">
        <v>2018</v>
      </c>
      <c r="G593" t="s">
        <v>113</v>
      </c>
      <c r="H593">
        <v>167</v>
      </c>
      <c r="I593">
        <v>7.1</v>
      </c>
      <c r="J593">
        <v>722211</v>
      </c>
      <c r="K593">
        <v>51.85</v>
      </c>
      <c r="L593">
        <v>18.239999999999998</v>
      </c>
      <c r="M593" t="s">
        <v>78</v>
      </c>
      <c r="N593" t="s">
        <v>133</v>
      </c>
      <c r="O593" t="s">
        <v>35</v>
      </c>
      <c r="P593" t="s">
        <v>45</v>
      </c>
      <c r="Q593" t="s">
        <v>54</v>
      </c>
    </row>
    <row r="594" spans="1:17" x14ac:dyDescent="0.3">
      <c r="A594" t="s">
        <v>1281</v>
      </c>
      <c r="B594" t="s">
        <v>1282</v>
      </c>
      <c r="C594" t="s">
        <v>144</v>
      </c>
      <c r="D594" t="s">
        <v>20</v>
      </c>
      <c r="E594" t="s">
        <v>88</v>
      </c>
      <c r="F594">
        <v>2021</v>
      </c>
      <c r="G594" t="s">
        <v>155</v>
      </c>
      <c r="H594">
        <v>108</v>
      </c>
      <c r="J594">
        <v>415598</v>
      </c>
      <c r="K594">
        <v>45.41</v>
      </c>
      <c r="L594">
        <v>9.24</v>
      </c>
      <c r="M594" t="s">
        <v>23</v>
      </c>
      <c r="N594" t="s">
        <v>89</v>
      </c>
      <c r="O594" t="s">
        <v>25</v>
      </c>
      <c r="P594" t="s">
        <v>26</v>
      </c>
      <c r="Q594" t="s">
        <v>152</v>
      </c>
    </row>
    <row r="595" spans="1:17" x14ac:dyDescent="0.3">
      <c r="A595" t="s">
        <v>1283</v>
      </c>
      <c r="B595" t="s">
        <v>1284</v>
      </c>
      <c r="C595" t="s">
        <v>86</v>
      </c>
      <c r="D595" t="s">
        <v>171</v>
      </c>
      <c r="E595" t="s">
        <v>82</v>
      </c>
      <c r="F595">
        <v>2021</v>
      </c>
      <c r="G595" t="s">
        <v>32</v>
      </c>
      <c r="H595">
        <v>102</v>
      </c>
      <c r="I595">
        <v>8.3000000000000007</v>
      </c>
      <c r="J595">
        <v>897331</v>
      </c>
      <c r="K595">
        <v>345.51</v>
      </c>
      <c r="L595">
        <v>216.23</v>
      </c>
      <c r="M595" t="s">
        <v>172</v>
      </c>
      <c r="N595" t="s">
        <v>89</v>
      </c>
      <c r="O595" t="s">
        <v>120</v>
      </c>
      <c r="P595" t="s">
        <v>26</v>
      </c>
      <c r="Q595" t="s">
        <v>36</v>
      </c>
    </row>
    <row r="596" spans="1:17" x14ac:dyDescent="0.3">
      <c r="A596" t="s">
        <v>1285</v>
      </c>
      <c r="B596" t="s">
        <v>1286</v>
      </c>
      <c r="C596" t="s">
        <v>39</v>
      </c>
      <c r="D596" t="s">
        <v>20</v>
      </c>
      <c r="E596" t="s">
        <v>49</v>
      </c>
      <c r="F596">
        <v>2019</v>
      </c>
      <c r="G596" t="s">
        <v>108</v>
      </c>
      <c r="H596">
        <v>92</v>
      </c>
      <c r="I596">
        <v>7.9</v>
      </c>
      <c r="J596">
        <v>102200</v>
      </c>
      <c r="K596">
        <v>72.19</v>
      </c>
      <c r="L596">
        <v>23.26</v>
      </c>
      <c r="M596" t="s">
        <v>33</v>
      </c>
      <c r="N596" t="s">
        <v>52</v>
      </c>
      <c r="O596" t="s">
        <v>141</v>
      </c>
      <c r="P596" t="s">
        <v>45</v>
      </c>
      <c r="Q596" t="s">
        <v>152</v>
      </c>
    </row>
    <row r="597" spans="1:17" x14ac:dyDescent="0.3">
      <c r="A597" t="s">
        <v>1287</v>
      </c>
      <c r="B597" t="s">
        <v>1288</v>
      </c>
      <c r="C597" t="s">
        <v>48</v>
      </c>
      <c r="D597" t="s">
        <v>20</v>
      </c>
      <c r="E597" t="s">
        <v>192</v>
      </c>
      <c r="F597">
        <v>2019</v>
      </c>
      <c r="G597" t="s">
        <v>108</v>
      </c>
      <c r="H597">
        <v>154</v>
      </c>
      <c r="I597">
        <v>6.5</v>
      </c>
      <c r="J597">
        <v>397705</v>
      </c>
      <c r="K597">
        <v>479.37</v>
      </c>
      <c r="L597">
        <v>92.59</v>
      </c>
      <c r="M597" t="s">
        <v>51</v>
      </c>
      <c r="N597" t="s">
        <v>101</v>
      </c>
      <c r="O597" t="s">
        <v>44</v>
      </c>
      <c r="P597" t="s">
        <v>26</v>
      </c>
      <c r="Q597" t="s">
        <v>36</v>
      </c>
    </row>
    <row r="598" spans="1:17" x14ac:dyDescent="0.3">
      <c r="A598" t="s">
        <v>1289</v>
      </c>
      <c r="B598" t="s">
        <v>1290</v>
      </c>
      <c r="C598" t="s">
        <v>39</v>
      </c>
      <c r="D598" t="s">
        <v>72</v>
      </c>
      <c r="E598" t="s">
        <v>41</v>
      </c>
      <c r="F598">
        <v>2022</v>
      </c>
      <c r="G598" t="s">
        <v>126</v>
      </c>
      <c r="H598">
        <v>101</v>
      </c>
      <c r="I598">
        <v>7</v>
      </c>
      <c r="J598">
        <v>325114</v>
      </c>
      <c r="K598">
        <v>564.49</v>
      </c>
      <c r="L598">
        <v>100.74</v>
      </c>
      <c r="M598" t="s">
        <v>42</v>
      </c>
      <c r="N598" t="s">
        <v>101</v>
      </c>
      <c r="O598" t="s">
        <v>25</v>
      </c>
      <c r="P598" t="s">
        <v>26</v>
      </c>
      <c r="Q598" t="s">
        <v>68</v>
      </c>
    </row>
    <row r="599" spans="1:17" x14ac:dyDescent="0.3">
      <c r="A599" t="s">
        <v>1291</v>
      </c>
      <c r="B599" t="s">
        <v>1292</v>
      </c>
      <c r="C599" t="s">
        <v>144</v>
      </c>
      <c r="D599" t="s">
        <v>171</v>
      </c>
      <c r="E599" t="s">
        <v>88</v>
      </c>
      <c r="F599">
        <v>2025</v>
      </c>
      <c r="G599" t="s">
        <v>113</v>
      </c>
      <c r="H599">
        <v>105</v>
      </c>
      <c r="I599">
        <v>7.4</v>
      </c>
      <c r="J599">
        <v>474009</v>
      </c>
      <c r="K599">
        <v>131.13999999999999</v>
      </c>
      <c r="L599">
        <v>20.28</v>
      </c>
      <c r="M599" t="s">
        <v>172</v>
      </c>
      <c r="N599" t="s">
        <v>73</v>
      </c>
      <c r="O599" t="s">
        <v>136</v>
      </c>
      <c r="P599" t="s">
        <v>26</v>
      </c>
      <c r="Q599" t="s">
        <v>152</v>
      </c>
    </row>
    <row r="600" spans="1:17" x14ac:dyDescent="0.3">
      <c r="A600" t="s">
        <v>1293</v>
      </c>
      <c r="B600" t="s">
        <v>1294</v>
      </c>
      <c r="C600" t="s">
        <v>130</v>
      </c>
      <c r="D600" t="s">
        <v>87</v>
      </c>
      <c r="E600" t="s">
        <v>82</v>
      </c>
      <c r="F600">
        <v>2018</v>
      </c>
      <c r="G600" t="s">
        <v>77</v>
      </c>
      <c r="H600">
        <v>177</v>
      </c>
      <c r="I600">
        <v>7.6</v>
      </c>
      <c r="J600">
        <v>748821</v>
      </c>
      <c r="K600">
        <v>250.43</v>
      </c>
      <c r="L600">
        <v>57.15</v>
      </c>
      <c r="M600" t="s">
        <v>42</v>
      </c>
      <c r="N600" t="s">
        <v>66</v>
      </c>
      <c r="O600" t="s">
        <v>74</v>
      </c>
      <c r="P600" t="s">
        <v>45</v>
      </c>
      <c r="Q600" t="s">
        <v>54</v>
      </c>
    </row>
    <row r="601" spans="1:17" x14ac:dyDescent="0.3">
      <c r="A601" t="s">
        <v>1295</v>
      </c>
      <c r="B601" t="s">
        <v>1296</v>
      </c>
      <c r="C601" t="s">
        <v>19</v>
      </c>
      <c r="D601" t="s">
        <v>20</v>
      </c>
      <c r="E601" t="s">
        <v>31</v>
      </c>
      <c r="F601">
        <v>2022</v>
      </c>
      <c r="G601" t="s">
        <v>96</v>
      </c>
      <c r="H601">
        <v>157</v>
      </c>
      <c r="I601">
        <v>4.9000000000000004</v>
      </c>
      <c r="J601">
        <v>350436</v>
      </c>
      <c r="K601">
        <v>596.13</v>
      </c>
      <c r="L601">
        <v>171.1</v>
      </c>
      <c r="M601" t="s">
        <v>51</v>
      </c>
      <c r="N601" t="s">
        <v>34</v>
      </c>
      <c r="O601" t="s">
        <v>127</v>
      </c>
      <c r="P601" t="s">
        <v>26</v>
      </c>
      <c r="Q601" t="s">
        <v>152</v>
      </c>
    </row>
    <row r="602" spans="1:17" x14ac:dyDescent="0.3">
      <c r="A602" t="s">
        <v>1297</v>
      </c>
      <c r="B602" t="s">
        <v>1298</v>
      </c>
      <c r="C602" t="s">
        <v>71</v>
      </c>
      <c r="D602" t="s">
        <v>20</v>
      </c>
      <c r="E602" t="s">
        <v>49</v>
      </c>
      <c r="F602">
        <v>2025</v>
      </c>
      <c r="G602" t="s">
        <v>96</v>
      </c>
      <c r="H602">
        <v>134</v>
      </c>
      <c r="I602">
        <v>7.4</v>
      </c>
      <c r="J602">
        <v>937633</v>
      </c>
      <c r="K602">
        <v>755.14</v>
      </c>
      <c r="L602">
        <v>173.31</v>
      </c>
      <c r="M602" t="s">
        <v>78</v>
      </c>
      <c r="N602" t="s">
        <v>109</v>
      </c>
      <c r="O602" t="s">
        <v>44</v>
      </c>
      <c r="P602" t="s">
        <v>45</v>
      </c>
      <c r="Q602" t="s">
        <v>60</v>
      </c>
    </row>
    <row r="603" spans="1:17" x14ac:dyDescent="0.3">
      <c r="A603" t="s">
        <v>1299</v>
      </c>
      <c r="B603" t="s">
        <v>1300</v>
      </c>
      <c r="C603" t="s">
        <v>86</v>
      </c>
      <c r="D603" t="s">
        <v>87</v>
      </c>
      <c r="E603" t="s">
        <v>88</v>
      </c>
      <c r="F603">
        <v>2016</v>
      </c>
      <c r="G603" t="s">
        <v>93</v>
      </c>
      <c r="H603">
        <v>181</v>
      </c>
      <c r="I603">
        <v>8.1</v>
      </c>
      <c r="J603">
        <v>369411</v>
      </c>
      <c r="K603">
        <v>700.31</v>
      </c>
      <c r="L603">
        <v>240.89</v>
      </c>
      <c r="M603" t="s">
        <v>42</v>
      </c>
      <c r="N603" t="s">
        <v>179</v>
      </c>
      <c r="O603" t="s">
        <v>44</v>
      </c>
      <c r="P603" t="s">
        <v>26</v>
      </c>
      <c r="Q603" t="s">
        <v>36</v>
      </c>
    </row>
    <row r="604" spans="1:17" x14ac:dyDescent="0.3">
      <c r="A604" t="s">
        <v>1301</v>
      </c>
      <c r="B604" t="s">
        <v>1302</v>
      </c>
      <c r="C604" t="s">
        <v>116</v>
      </c>
      <c r="D604" t="s">
        <v>215</v>
      </c>
      <c r="E604" t="s">
        <v>31</v>
      </c>
      <c r="F604">
        <v>2020</v>
      </c>
      <c r="G604" t="s">
        <v>32</v>
      </c>
      <c r="H604">
        <v>152</v>
      </c>
      <c r="I604">
        <v>8.6</v>
      </c>
      <c r="J604">
        <v>454759</v>
      </c>
      <c r="K604">
        <v>58.83</v>
      </c>
      <c r="L604">
        <v>37.17</v>
      </c>
      <c r="M604" t="s">
        <v>216</v>
      </c>
      <c r="N604" t="s">
        <v>133</v>
      </c>
      <c r="O604" t="s">
        <v>67</v>
      </c>
      <c r="P604" t="s">
        <v>26</v>
      </c>
      <c r="Q604" t="s">
        <v>123</v>
      </c>
    </row>
    <row r="605" spans="1:17" x14ac:dyDescent="0.3">
      <c r="A605" t="s">
        <v>1303</v>
      </c>
      <c r="B605" t="s">
        <v>1304</v>
      </c>
      <c r="C605" t="s">
        <v>48</v>
      </c>
      <c r="D605" t="s">
        <v>57</v>
      </c>
      <c r="E605" t="s">
        <v>41</v>
      </c>
      <c r="F605">
        <v>2016</v>
      </c>
      <c r="G605" t="s">
        <v>65</v>
      </c>
      <c r="H605">
        <v>106</v>
      </c>
      <c r="I605">
        <v>7.9</v>
      </c>
      <c r="J605">
        <v>487354</v>
      </c>
      <c r="K605">
        <v>284.43</v>
      </c>
      <c r="L605">
        <v>100.89</v>
      </c>
      <c r="M605" t="s">
        <v>58</v>
      </c>
      <c r="N605" t="s">
        <v>109</v>
      </c>
      <c r="O605" t="s">
        <v>166</v>
      </c>
      <c r="P605" t="s">
        <v>26</v>
      </c>
      <c r="Q605" t="s">
        <v>54</v>
      </c>
    </row>
    <row r="606" spans="1:17" x14ac:dyDescent="0.3">
      <c r="A606" t="s">
        <v>1305</v>
      </c>
      <c r="B606" t="s">
        <v>1306</v>
      </c>
      <c r="C606" t="s">
        <v>116</v>
      </c>
      <c r="D606" t="s">
        <v>215</v>
      </c>
      <c r="E606" t="s">
        <v>41</v>
      </c>
      <c r="F606">
        <v>2017</v>
      </c>
      <c r="G606" t="s">
        <v>96</v>
      </c>
      <c r="H606">
        <v>142</v>
      </c>
      <c r="I606">
        <v>7.8</v>
      </c>
      <c r="J606">
        <v>92855</v>
      </c>
      <c r="K606">
        <v>1478.45</v>
      </c>
      <c r="L606">
        <v>203.01</v>
      </c>
      <c r="M606" t="s">
        <v>484</v>
      </c>
      <c r="N606" t="s">
        <v>145</v>
      </c>
      <c r="O606" t="s">
        <v>74</v>
      </c>
      <c r="P606" t="s">
        <v>26</v>
      </c>
      <c r="Q606" t="s">
        <v>60</v>
      </c>
    </row>
    <row r="607" spans="1:17" x14ac:dyDescent="0.3">
      <c r="A607" t="s">
        <v>1307</v>
      </c>
      <c r="B607" t="s">
        <v>1308</v>
      </c>
      <c r="C607" t="s">
        <v>63</v>
      </c>
      <c r="D607" t="s">
        <v>57</v>
      </c>
      <c r="E607" t="s">
        <v>88</v>
      </c>
      <c r="F607">
        <v>2025</v>
      </c>
      <c r="G607" t="s">
        <v>65</v>
      </c>
      <c r="H607">
        <v>133</v>
      </c>
      <c r="I607">
        <v>6.2</v>
      </c>
      <c r="J607">
        <v>46394</v>
      </c>
      <c r="K607">
        <v>78.599999999999994</v>
      </c>
      <c r="L607">
        <v>65.349999999999994</v>
      </c>
      <c r="M607" t="s">
        <v>58</v>
      </c>
      <c r="N607" t="s">
        <v>52</v>
      </c>
      <c r="O607" t="s">
        <v>44</v>
      </c>
      <c r="P607" t="s">
        <v>26</v>
      </c>
      <c r="Q607" t="s">
        <v>27</v>
      </c>
    </row>
    <row r="608" spans="1:17" x14ac:dyDescent="0.3">
      <c r="A608" t="s">
        <v>1309</v>
      </c>
      <c r="B608" t="s">
        <v>1310</v>
      </c>
      <c r="C608" t="s">
        <v>86</v>
      </c>
      <c r="D608" t="s">
        <v>20</v>
      </c>
      <c r="E608" t="s">
        <v>41</v>
      </c>
      <c r="F608">
        <v>2018</v>
      </c>
      <c r="G608" t="s">
        <v>100</v>
      </c>
      <c r="H608">
        <v>169</v>
      </c>
      <c r="I608">
        <v>6.5</v>
      </c>
      <c r="J608">
        <v>557511</v>
      </c>
      <c r="K608">
        <v>652.41</v>
      </c>
      <c r="L608">
        <v>87.25</v>
      </c>
      <c r="M608" t="s">
        <v>78</v>
      </c>
      <c r="N608" t="s">
        <v>34</v>
      </c>
      <c r="O608" t="s">
        <v>59</v>
      </c>
      <c r="P608" t="s">
        <v>26</v>
      </c>
      <c r="Q608" t="s">
        <v>54</v>
      </c>
    </row>
    <row r="609" spans="1:17" x14ac:dyDescent="0.3">
      <c r="A609" t="s">
        <v>1311</v>
      </c>
      <c r="B609" t="s">
        <v>1312</v>
      </c>
      <c r="C609" t="s">
        <v>19</v>
      </c>
      <c r="D609" t="s">
        <v>64</v>
      </c>
      <c r="E609" t="s">
        <v>88</v>
      </c>
      <c r="F609">
        <v>2021</v>
      </c>
      <c r="G609" t="s">
        <v>32</v>
      </c>
      <c r="H609">
        <v>115</v>
      </c>
      <c r="I609">
        <v>7.5</v>
      </c>
      <c r="J609">
        <v>61518</v>
      </c>
      <c r="K609">
        <v>438.1</v>
      </c>
      <c r="L609">
        <v>62.63</v>
      </c>
      <c r="M609" t="s">
        <v>42</v>
      </c>
      <c r="N609" t="s">
        <v>89</v>
      </c>
      <c r="O609" t="s">
        <v>53</v>
      </c>
      <c r="P609" t="s">
        <v>26</v>
      </c>
      <c r="Q609" t="s">
        <v>123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C2BD8A-8CC1-463C-A53D-CB8B8EC62C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Table1</vt:lpstr>
      <vt:lpstr>Sheet1</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alakanandagopi000@gmail.com</cp:lastModifiedBy>
  <dcterms:created xsi:type="dcterms:W3CDTF">2026-08-24T16:14:28Z</dcterms:created>
  <dcterms:modified xsi:type="dcterms:W3CDTF">2026-08-29T16:13:17Z</dcterms:modified>
</cp:coreProperties>
</file>